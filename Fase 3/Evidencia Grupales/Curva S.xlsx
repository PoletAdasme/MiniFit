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\Escritorio\Capstone\Entrega 1\Documentos actualizados\"/>
    </mc:Choice>
  </mc:AlternateContent>
  <xr:revisionPtr revIDLastSave="0" documentId="13_ncr:1_{14D3FE78-447C-4E21-8176-ED4339E7EFB5}" xr6:coauthVersionLast="47" xr6:coauthVersionMax="47" xr10:uidLastSave="{00000000-0000-0000-0000-000000000000}"/>
  <bookViews>
    <workbookView xWindow="5250" yWindow="1875" windowWidth="21600" windowHeight="11295" activeTab="2" xr2:uid="{3F5A13AB-B4A1-458E-B533-BD2C272F0BE8}"/>
  </bookViews>
  <sheets>
    <sheet name="Cursa S Desv" sheetId="5" r:id="rId1"/>
    <sheet name="Curva S" sheetId="6" r:id="rId2"/>
    <sheet name="Grafico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6" l="1"/>
  <c r="H6" i="6"/>
  <c r="H8" i="6"/>
  <c r="H9" i="6"/>
  <c r="H10" i="6"/>
  <c r="H11" i="6"/>
  <c r="H12" i="6"/>
  <c r="H13" i="6"/>
</calcChain>
</file>

<file path=xl/sharedStrings.xml><?xml version="1.0" encoding="utf-8"?>
<sst xmlns="http://schemas.openxmlformats.org/spreadsheetml/2006/main" count="145" uniqueCount="132">
  <si>
    <t>🔵 En curso</t>
  </si>
  <si>
    <t>Corrección de errores (mobile + web), QA y ajustes, documentación, entrega final</t>
  </si>
  <si>
    <t>Corrección de errores, QA global y entrega final</t>
  </si>
  <si>
    <t>3 semanas</t>
  </si>
  <si>
    <t>3 nov – 22 nov</t>
  </si>
  <si>
    <t>Sprint 4</t>
  </si>
  <si>
    <t>🟡 Finalizado con incidencias</t>
  </si>
  <si>
    <t>Desarrollo WEB (setup, vistas, integración CRUD), QA Mobile (funcional e integración)</t>
  </si>
  <si>
    <t>Desarrollo Web y QA Mobile inicial</t>
  </si>
  <si>
    <t>9 oct – 2 nov</t>
  </si>
  <si>
    <t>Sprint 3</t>
  </si>
  <si>
    <t>✅ Finalizado</t>
  </si>
  <si>
    <t>Interfaz Mobile, conexión con API y BD</t>
  </si>
  <si>
    <t>Desarrollo Mobile</t>
  </si>
  <si>
    <t>2 semanas</t>
  </si>
  <si>
    <t>26 sept – 8 oct</t>
  </si>
  <si>
    <t>Sprint 2</t>
  </si>
  <si>
    <t>Desarrollo de API y pruebas iniciales</t>
  </si>
  <si>
    <t>Backend y API</t>
  </si>
  <si>
    <t>12 sept – 25 sept</t>
  </si>
  <si>
    <t>Sprint 1</t>
  </si>
  <si>
    <t>Definición, diseño, modelamiento BD, configuración JIRA</t>
  </si>
  <si>
    <t>Planificación y organización inicial</t>
  </si>
  <si>
    <t>2,5 semanas</t>
  </si>
  <si>
    <t>25 ago – 11 sept</t>
  </si>
  <si>
    <t>Sprint 0</t>
  </si>
  <si>
    <t>Estado</t>
  </si>
  <si>
    <t>Actividades clave</t>
  </si>
  <si>
    <t>Enfoque principal</t>
  </si>
  <si>
    <t>Duración</t>
  </si>
  <si>
    <t>Fechas</t>
  </si>
  <si>
    <t>Sprint</t>
  </si>
  <si>
    <t>PPT Avance 08-11</t>
  </si>
  <si>
    <t>—</t>
  </si>
  <si>
    <t>Alto</t>
  </si>
  <si>
    <t>1. Se crea un nuevo hito transversal “Corrección y Gestión de Errores” (30 oct–21 nov).
2. Se extiende el desarrollo web hasta el 9 nov.
3. QA general se reprograma del 10 al 21 nov.
4. Se mantiene la fecha de entrega final (22 nov).</t>
  </si>
  <si>
    <t>Necesidad de aislar las tareas de corrección derivadas del QA Mobile para recuperar el control del cronograma.</t>
  </si>
  <si>
    <t>Replanificación y creación del hito transversal “Corrección y Gestión de Errores”</t>
  </si>
  <si>
    <t>C5</t>
  </si>
  <si>
    <t>PPT Avance 25-10</t>
  </si>
  <si>
    <t>Activo</t>
  </si>
  <si>
    <t>R27, R28, R29</t>
  </si>
  <si>
    <t xml:space="preserve">Pausa QA Mobile, corrección y revalidación, se reorganiza la carta gantt </t>
  </si>
  <si>
    <t>Fallos en vistas y endpoints</t>
  </si>
  <si>
    <t>Estancamiento QA por errores en Mobile (Registrar Comida / Actividad Física)</t>
  </si>
  <si>
    <t>C4</t>
  </si>
  <si>
    <t>Acta Cambio Semana 10</t>
  </si>
  <si>
    <t>Controlado</t>
  </si>
  <si>
    <t>R10, R14, R16</t>
  </si>
  <si>
    <t>Medio</t>
  </si>
  <si>
    <t>Reasignación de tiempos y actualización cronograma</t>
  </si>
  <si>
    <t>Atraso en desarrollo Web</t>
  </si>
  <si>
    <t>Cambio de orden QA: se adelanta QA Mobile</t>
  </si>
  <si>
    <t>C3</t>
  </si>
  <si>
    <t>Gantt V2</t>
  </si>
  <si>
    <t>R4, R7, R10</t>
  </si>
  <si>
    <t>Ajuste de Gantt, redistribución QA</t>
  </si>
  <si>
    <t>Sobrecarga del desarrollador</t>
  </si>
  <si>
    <t>Replanificación de tareas Mobile–Web</t>
  </si>
  <si>
    <t>C2</t>
  </si>
  <si>
    <t>Creacion de JIRA con sus tareas</t>
  </si>
  <si>
    <t>Cerrado</t>
  </si>
  <si>
    <t>R15</t>
  </si>
  <si>
    <t>1- Actualizacion de documentacion con los cambios
2- Cambios en el alcance del proyecto
3- Se implementa JIRA</t>
  </si>
  <si>
    <t>Cambios de alcance establecidos en la aplicación, se define crear una app web solo como mantenedor y se toma todas las funcionalidades en la version MOBILE</t>
  </si>
  <si>
    <t>Ajustes en gannt y actualizacion de documentacion del proyecto por falta de organización</t>
  </si>
  <si>
    <t>C1</t>
  </si>
  <si>
    <t>Evidencia</t>
  </si>
  <si>
    <t>Riesgos asociados</t>
  </si>
  <si>
    <t>Impacto</t>
  </si>
  <si>
    <t>Acción tomada</t>
  </si>
  <si>
    <t>Motivo / Causa</t>
  </si>
  <si>
    <t>Descripción del cambio</t>
  </si>
  <si>
    <t>Fecha</t>
  </si>
  <si>
    <t>ID</t>
  </si>
  <si>
    <t>Documentación final + Entrega</t>
  </si>
  <si>
    <t>17 nov – 22 nov</t>
  </si>
  <si>
    <t>Semana 13</t>
  </si>
  <si>
    <t>QA Web Final + Documentación (inicio)</t>
  </si>
  <si>
    <t>10 nov – 16 nov</t>
  </si>
  <si>
    <t>Semana 12</t>
  </si>
  <si>
    <t>Se realiza el QA a aplicaciones por modulo dentro del desarrollo</t>
  </si>
  <si>
    <t>QA Web + Integración</t>
  </si>
  <si>
    <t>3 nov – 9 nov</t>
  </si>
  <si>
    <t>Semana 11</t>
  </si>
  <si>
    <t>Se involucra PM y QA en tareas de implementacion web faltante</t>
  </si>
  <si>
    <t>QA Mobile + Inicio Corrección de Errores</t>
  </si>
  <si>
    <t>27 oct – 2 nov</t>
  </si>
  <si>
    <t>Semana 10</t>
  </si>
  <si>
    <t xml:space="preserve">Atraso por falla detenctada en QA en aplicación MOBILE </t>
  </si>
  <si>
    <t>Desarrollo Web + Inicio QA Mobile</t>
  </si>
  <si>
    <t>20 oct – 26 oct</t>
  </si>
  <si>
    <t>Semana 9</t>
  </si>
  <si>
    <t>Desarrollo detenido por implementacion faltante de funcionalidad en app mobile</t>
  </si>
  <si>
    <t>Desarrollo Web (vistas + lógica)</t>
  </si>
  <si>
    <t>13 oct – 19 oct</t>
  </si>
  <si>
    <t>Semana 8</t>
  </si>
  <si>
    <t>Se modiffica carta gannt, se asigna a PM para ayuda dentro de la programacion, implementacion de IA de pago</t>
  </si>
  <si>
    <t>Desarrollo Web (inicio)</t>
  </si>
  <si>
    <t>6 oct – 12 oct</t>
  </si>
  <si>
    <t>Semana 7</t>
  </si>
  <si>
    <t xml:space="preserve">Atraso por sobrecarga en desarrollador dentor de la aplicación mobile con sus funcionalidades </t>
  </si>
  <si>
    <t>Desarrollo APP Mobile (fin)</t>
  </si>
  <si>
    <t>29 sept – 5 oct</t>
  </si>
  <si>
    <t>Semana 6</t>
  </si>
  <si>
    <t>Desarrollo APP Mobile (inicio)</t>
  </si>
  <si>
    <t>22 sept – 28 sept</t>
  </si>
  <si>
    <t>Semana 5</t>
  </si>
  <si>
    <t xml:space="preserve">Se modiffica carta gannt, se vuelven a estimar tareas y se modifica la documentacion </t>
  </si>
  <si>
    <t>Desarrollo de API (fin) / Ajustes iniciales</t>
  </si>
  <si>
    <t>15 sept – 21 sept</t>
  </si>
  <si>
    <t>Semana 4</t>
  </si>
  <si>
    <t xml:space="preserve">Atraso por cambios de alcance dentro del proyecto, se modifican funcionalidades se define dejar las principales funcionalidades dentro de app mobile y se genera mantenedor </t>
  </si>
  <si>
    <t>Desarrollo de API (inicio)</t>
  </si>
  <si>
    <t>8 sept – 14 sept</t>
  </si>
  <si>
    <t>Semana 3</t>
  </si>
  <si>
    <t>Modelamiento BD</t>
  </si>
  <si>
    <t>1 sept – 7 sept</t>
  </si>
  <si>
    <t>Semana 2</t>
  </si>
  <si>
    <t>Definición y Diseño</t>
  </si>
  <si>
    <t>25 ago – 31 ago</t>
  </si>
  <si>
    <t>Semana 1</t>
  </si>
  <si>
    <t>Inicio de proyecto</t>
  </si>
  <si>
    <t>Correccion</t>
  </si>
  <si>
    <t>Accion</t>
  </si>
  <si>
    <t>Desviación</t>
  </si>
  <si>
    <t>% Real</t>
  </si>
  <si>
    <t>% Planificado</t>
  </si>
  <si>
    <t>Acumulado real</t>
  </si>
  <si>
    <t>Acumulado estimado</t>
  </si>
  <si>
    <t>Hito</t>
  </si>
  <si>
    <t>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</si>
</sst>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 wrapText="1"/>
    </xf>
    <xf numFmtId="0" fontId="1" fillId="0" borderId="0" xfId="1" applyAlignment="1">
      <alignment wrapText="1"/>
    </xf>
    <xf numFmtId="14" fontId="1" fillId="0" borderId="0" xfId="1" applyNumberFormat="1" applyAlignment="1">
      <alignment vertical="center" wrapText="1"/>
    </xf>
    <xf numFmtId="9" fontId="1" fillId="0" borderId="0" xfId="1" applyNumberFormat="1"/>
    <xf numFmtId="9" fontId="1" fillId="0" borderId="0" xfId="1" applyNumberFormat="1" applyAlignment="1">
      <alignment horizontal="center" vertical="center"/>
    </xf>
    <xf numFmtId="0" fontId="1" fillId="0" borderId="0" xfId="1" applyAlignment="1">
      <alignment horizontal="center"/>
    </xf>
    <xf numFmtId="9" fontId="1" fillId="0" borderId="0" xfId="1" applyNumberFormat="1" applyAlignment="1">
      <alignment vertical="center" wrapText="1"/>
    </xf>
    <xf numFmtId="9" fontId="1" fillId="0" borderId="0" xfId="1" applyNumberForma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horizontal="center" wrapText="1"/>
    </xf>
    <xf numFmtId="9" fontId="1" fillId="2" borderId="0" xfId="1" applyNumberFormat="1" applyFill="1" applyAlignment="1">
      <alignment vertical="center" wrapText="1"/>
    </xf>
    <xf numFmtId="0" fontId="1" fillId="3" borderId="0" xfId="1" applyFill="1" applyAlignment="1">
      <alignment vertical="center" wrapText="1"/>
    </xf>
    <xf numFmtId="9" fontId="1" fillId="4" borderId="0" xfId="1" applyNumberFormat="1" applyFill="1" applyAlignment="1">
      <alignment vertical="center" wrapText="1"/>
    </xf>
    <xf numFmtId="9" fontId="2" fillId="0" borderId="0" xfId="1" applyNumberFormat="1" applyFont="1" applyAlignment="1">
      <alignment horizontal="center" vertical="center" wrapText="1"/>
    </xf>
  </cellXfs>
  <cellStyles count="2">
    <cellStyle name="Normal" xfId="0" builtinId="0"/>
    <cellStyle name="Normal 2" xfId="1" xr:uid="{AC65E22E-3D1F-4606-A5AA-B6920D2C27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L" sz="2000"/>
              <a:t>Curva S –  Proyecto MiniFit</a:t>
            </a:r>
          </a:p>
        </c:rich>
      </c:tx>
      <c:layout>
        <c:manualLayout>
          <c:xMode val="edge"/>
          <c:yMode val="edge"/>
          <c:x val="0.35993489520175481"/>
          <c:y val="1.58853824578121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6753633445745481"/>
          <c:y val="8.7206488378488101E-2"/>
          <c:w val="0.80460327452287572"/>
          <c:h val="0.718186190260519"/>
        </c:manualLayout>
      </c:layout>
      <c:lineChart>
        <c:grouping val="standard"/>
        <c:varyColors val="0"/>
        <c:ser>
          <c:idx val="1"/>
          <c:order val="0"/>
          <c:tx>
            <c:strRef>
              <c:f>'Curva S'!$E$1</c:f>
              <c:strCache>
                <c:ptCount val="1"/>
                <c:pt idx="0">
                  <c:v>Acumulado real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'Curva S'!$E$2:$E$17</c15:sqref>
                  </c15:fullRef>
                </c:ext>
              </c:extLst>
              <c:f>'Curva S'!$E$2:$E$15</c:f>
              <c:numCache>
                <c:formatCode>0%</c:formatCode>
                <c:ptCount val="14"/>
                <c:pt idx="0">
                  <c:v>0</c:v>
                </c:pt>
                <c:pt idx="1">
                  <c:v>0.15</c:v>
                </c:pt>
                <c:pt idx="2">
                  <c:v>0.2</c:v>
                </c:pt>
                <c:pt idx="3">
                  <c:v>0.22</c:v>
                </c:pt>
                <c:pt idx="4">
                  <c:v>0.3</c:v>
                </c:pt>
                <c:pt idx="5">
                  <c:v>0.4</c:v>
                </c:pt>
                <c:pt idx="6">
                  <c:v>0.45</c:v>
                </c:pt>
                <c:pt idx="7">
                  <c:v>0.55000000000000004</c:v>
                </c:pt>
                <c:pt idx="8">
                  <c:v>0.62</c:v>
                </c:pt>
                <c:pt idx="9">
                  <c:v>0.7</c:v>
                </c:pt>
                <c:pt idx="10">
                  <c:v>0.77</c:v>
                </c:pt>
                <c:pt idx="11">
                  <c:v>0.9</c:v>
                </c:pt>
                <c:pt idx="12">
                  <c:v>0.95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5D-4546-BBDE-D521ED54DBC1}"/>
            </c:ext>
          </c:extLst>
        </c:ser>
        <c:ser>
          <c:idx val="0"/>
          <c:order val="1"/>
          <c:tx>
            <c:strRef>
              <c:f>'Curva S'!$D$1</c:f>
              <c:strCache>
                <c:ptCount val="1"/>
                <c:pt idx="0">
                  <c:v>Acumulado estimado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4"/>
              <c:pt idx="0">
                <c:v>100%</c:v>
              </c:pt>
              <c:pt idx="1">
                <c:v>200%</c:v>
              </c:pt>
              <c:pt idx="2">
                <c:v>300%</c:v>
              </c:pt>
              <c:pt idx="3">
                <c:v>400%</c:v>
              </c:pt>
              <c:pt idx="4">
                <c:v>500%</c:v>
              </c:pt>
              <c:pt idx="5">
                <c:v>600%</c:v>
              </c:pt>
              <c:pt idx="6">
                <c:v>700%</c:v>
              </c:pt>
              <c:pt idx="7">
                <c:v>800%</c:v>
              </c:pt>
              <c:pt idx="8">
                <c:v>900%</c:v>
              </c:pt>
              <c:pt idx="9">
                <c:v>1000%</c:v>
              </c:pt>
              <c:pt idx="10">
                <c:v>1100%</c:v>
              </c:pt>
              <c:pt idx="11">
                <c:v>1200%</c:v>
              </c:pt>
              <c:pt idx="12">
                <c:v>1300%</c:v>
              </c:pt>
              <c:pt idx="13">
                <c:v>1400%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'Curva S'!$D$2:$D$17</c15:sqref>
                  </c15:fullRef>
                </c:ext>
              </c:extLst>
              <c:f>'Curva S'!$D$2:$D$15</c:f>
              <c:numCache>
                <c:formatCode>0%</c:formatCode>
                <c:ptCount val="14"/>
                <c:pt idx="0">
                  <c:v>0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0.65</c:v>
                </c:pt>
                <c:pt idx="9">
                  <c:v>0.75</c:v>
                </c:pt>
                <c:pt idx="10">
                  <c:v>0.8</c:v>
                </c:pt>
                <c:pt idx="11">
                  <c:v>0.9</c:v>
                </c:pt>
                <c:pt idx="12">
                  <c:v>0.95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5D-4546-BBDE-D521ED54DBC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5980336"/>
        <c:axId val="25979088"/>
      </c:lineChart>
      <c:catAx>
        <c:axId val="25980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Semanas del proyecto</a:t>
                </a:r>
              </a:p>
            </c:rich>
          </c:tx>
          <c:layout>
            <c:manualLayout>
              <c:xMode val="edge"/>
              <c:yMode val="edge"/>
              <c:x val="0.48208777290928984"/>
              <c:y val="0.746557656186764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5979088"/>
        <c:crosses val="max"/>
        <c:auto val="1"/>
        <c:lblAlgn val="ctr"/>
        <c:lblOffset val="100"/>
        <c:noMultiLvlLbl val="0"/>
      </c:catAx>
      <c:valAx>
        <c:axId val="25979088"/>
        <c:scaling>
          <c:orientation val="maxMin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400"/>
                  <a:t>% acumulado</a:t>
                </a:r>
              </a:p>
            </c:rich>
          </c:tx>
          <c:layout>
            <c:manualLayout>
              <c:xMode val="edge"/>
              <c:yMode val="edge"/>
              <c:x val="5.4403789875341557E-2"/>
              <c:y val="0.322210168789806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59803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70632238731966"/>
          <c:y val="0.91583310032087473"/>
          <c:w val="0.31577668972041473"/>
          <c:h val="3.53220507931861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0</xdr:row>
      <xdr:rowOff>142875</xdr:rowOff>
    </xdr:from>
    <xdr:to>
      <xdr:col>12</xdr:col>
      <xdr:colOff>695324</xdr:colOff>
      <xdr:row>34</xdr:row>
      <xdr:rowOff>152403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850C21-9AA3-41E1-A172-E5D07466BB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AC1A-CBC3-4310-8278-8664D318F7D6}">
  <dimension ref="A1:L18"/>
  <sheetViews>
    <sheetView workbookViewId="0">
      <selection activeCell="E12" sqref="E12"/>
    </sheetView>
  </sheetViews>
  <sheetFormatPr baseColWidth="10" defaultRowHeight="12.75" x14ac:dyDescent="0.2"/>
  <cols>
    <col min="1" max="2" width="11.42578125" style="1"/>
    <col min="3" max="3" width="31" style="1" customWidth="1"/>
    <col min="4" max="4" width="50.140625" style="1" customWidth="1"/>
    <col min="5" max="5" width="50.5703125" style="1" customWidth="1"/>
    <col min="6" max="6" width="24.42578125" style="1" customWidth="1"/>
    <col min="7" max="16384" width="11.42578125" style="1"/>
  </cols>
  <sheetData>
    <row r="1" spans="1:12" ht="25.5" x14ac:dyDescent="0.2">
      <c r="A1" s="4" t="s">
        <v>74</v>
      </c>
      <c r="B1" s="4" t="s">
        <v>73</v>
      </c>
      <c r="C1" s="4" t="s">
        <v>72</v>
      </c>
      <c r="D1" s="4" t="s">
        <v>71</v>
      </c>
      <c r="E1" s="4" t="s">
        <v>70</v>
      </c>
      <c r="F1" s="4" t="s">
        <v>69</v>
      </c>
      <c r="G1" s="4" t="s">
        <v>68</v>
      </c>
      <c r="H1" s="4" t="s">
        <v>26</v>
      </c>
      <c r="I1" s="4" t="s">
        <v>67</v>
      </c>
    </row>
    <row r="2" spans="1:12" ht="38.25" x14ac:dyDescent="0.2">
      <c r="A2" s="2" t="s">
        <v>66</v>
      </c>
      <c r="B2" s="6">
        <v>45913</v>
      </c>
      <c r="C2" s="2" t="s">
        <v>65</v>
      </c>
      <c r="D2" s="2" t="s">
        <v>64</v>
      </c>
      <c r="E2" s="2" t="s">
        <v>63</v>
      </c>
      <c r="F2" s="2" t="s">
        <v>34</v>
      </c>
      <c r="G2" s="2" t="s">
        <v>62</v>
      </c>
      <c r="H2" s="2" t="s">
        <v>61</v>
      </c>
      <c r="I2" s="2" t="s">
        <v>60</v>
      </c>
    </row>
    <row r="3" spans="1:12" ht="25.5" x14ac:dyDescent="0.2">
      <c r="A3" s="2" t="s">
        <v>59</v>
      </c>
      <c r="B3" s="6">
        <v>45933</v>
      </c>
      <c r="C3" s="2" t="s">
        <v>58</v>
      </c>
      <c r="D3" s="2" t="s">
        <v>57</v>
      </c>
      <c r="E3" s="2" t="s">
        <v>56</v>
      </c>
      <c r="F3" s="2" t="s">
        <v>49</v>
      </c>
      <c r="G3" s="2" t="s">
        <v>55</v>
      </c>
      <c r="H3" s="2" t="s">
        <v>47</v>
      </c>
      <c r="I3" s="2" t="s">
        <v>54</v>
      </c>
    </row>
    <row r="4" spans="1:12" ht="38.25" x14ac:dyDescent="0.2">
      <c r="A4" s="2" t="s">
        <v>53</v>
      </c>
      <c r="B4" s="6">
        <v>45948</v>
      </c>
      <c r="C4" s="2" t="s">
        <v>52</v>
      </c>
      <c r="D4" s="2" t="s">
        <v>51</v>
      </c>
      <c r="E4" s="2" t="s">
        <v>50</v>
      </c>
      <c r="F4" s="2" t="s">
        <v>49</v>
      </c>
      <c r="G4" s="2" t="s">
        <v>48</v>
      </c>
      <c r="H4" s="2" t="s">
        <v>47</v>
      </c>
      <c r="I4" s="2" t="s">
        <v>46</v>
      </c>
    </row>
    <row r="5" spans="1:12" ht="38.25" x14ac:dyDescent="0.2">
      <c r="A5" s="2" t="s">
        <v>45</v>
      </c>
      <c r="B5" s="6">
        <v>45955</v>
      </c>
      <c r="C5" s="2" t="s">
        <v>44</v>
      </c>
      <c r="D5" s="2" t="s">
        <v>43</v>
      </c>
      <c r="E5" s="2" t="s">
        <v>42</v>
      </c>
      <c r="F5" s="2" t="s">
        <v>34</v>
      </c>
      <c r="G5" s="2" t="s">
        <v>41</v>
      </c>
      <c r="H5" s="2" t="s">
        <v>40</v>
      </c>
      <c r="I5" s="2" t="s">
        <v>39</v>
      </c>
    </row>
    <row r="6" spans="1:12" ht="63.75" x14ac:dyDescent="0.2">
      <c r="A6" s="2" t="s">
        <v>38</v>
      </c>
      <c r="B6" s="6">
        <v>45962</v>
      </c>
      <c r="C6" s="2" t="s">
        <v>37</v>
      </c>
      <c r="D6" s="2" t="s">
        <v>36</v>
      </c>
      <c r="E6" s="5" t="s">
        <v>35</v>
      </c>
      <c r="F6" s="2" t="s">
        <v>34</v>
      </c>
      <c r="G6" s="2" t="s">
        <v>33</v>
      </c>
      <c r="H6" s="2" t="s">
        <v>33</v>
      </c>
      <c r="I6" s="2" t="s">
        <v>32</v>
      </c>
    </row>
    <row r="13" spans="1:12" ht="25.5" x14ac:dyDescent="0.2">
      <c r="G13" s="4" t="s">
        <v>31</v>
      </c>
      <c r="H13" s="4" t="s">
        <v>30</v>
      </c>
      <c r="I13" s="4" t="s">
        <v>29</v>
      </c>
      <c r="J13" s="4" t="s">
        <v>28</v>
      </c>
      <c r="K13" s="4" t="s">
        <v>27</v>
      </c>
      <c r="L13" s="4" t="s">
        <v>26</v>
      </c>
    </row>
    <row r="14" spans="1:12" ht="76.5" x14ac:dyDescent="0.2">
      <c r="G14" s="3" t="s">
        <v>25</v>
      </c>
      <c r="H14" s="2" t="s">
        <v>24</v>
      </c>
      <c r="I14" s="2" t="s">
        <v>23</v>
      </c>
      <c r="J14" s="2" t="s">
        <v>22</v>
      </c>
      <c r="K14" s="2" t="s">
        <v>21</v>
      </c>
      <c r="L14" s="2" t="s">
        <v>11</v>
      </c>
    </row>
    <row r="15" spans="1:12" ht="51" x14ac:dyDescent="0.2">
      <c r="G15" s="3" t="s">
        <v>20</v>
      </c>
      <c r="H15" s="2" t="s">
        <v>19</v>
      </c>
      <c r="I15" s="2" t="s">
        <v>14</v>
      </c>
      <c r="J15" s="2" t="s">
        <v>18</v>
      </c>
      <c r="K15" s="2" t="s">
        <v>17</v>
      </c>
      <c r="L15" s="2" t="s">
        <v>11</v>
      </c>
    </row>
    <row r="16" spans="1:12" ht="63.75" x14ac:dyDescent="0.2">
      <c r="G16" s="3" t="s">
        <v>16</v>
      </c>
      <c r="H16" s="2" t="s">
        <v>15</v>
      </c>
      <c r="I16" s="2" t="s">
        <v>14</v>
      </c>
      <c r="J16" s="2" t="s">
        <v>13</v>
      </c>
      <c r="K16" s="2" t="s">
        <v>12</v>
      </c>
      <c r="L16" s="2" t="s">
        <v>11</v>
      </c>
    </row>
    <row r="17" spans="7:12" ht="114.75" x14ac:dyDescent="0.2">
      <c r="G17" s="3" t="s">
        <v>10</v>
      </c>
      <c r="H17" s="3" t="s">
        <v>9</v>
      </c>
      <c r="I17" s="3" t="s">
        <v>3</v>
      </c>
      <c r="J17" s="2" t="s">
        <v>8</v>
      </c>
      <c r="K17" s="2" t="s">
        <v>7</v>
      </c>
      <c r="L17" s="2" t="s">
        <v>6</v>
      </c>
    </row>
    <row r="18" spans="7:12" ht="102" x14ac:dyDescent="0.2">
      <c r="G18" s="3" t="s">
        <v>5</v>
      </c>
      <c r="H18" s="3" t="s">
        <v>4</v>
      </c>
      <c r="I18" s="3" t="s">
        <v>3</v>
      </c>
      <c r="J18" s="2" t="s">
        <v>2</v>
      </c>
      <c r="K18" s="2" t="s">
        <v>1</v>
      </c>
      <c r="L18" s="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5A174-B9EB-4620-A3E8-07ADECE21D2C}">
  <dimension ref="A1:J15"/>
  <sheetViews>
    <sheetView workbookViewId="0">
      <selection activeCell="D3" sqref="D3"/>
    </sheetView>
  </sheetViews>
  <sheetFormatPr baseColWidth="10" defaultRowHeight="12.75" x14ac:dyDescent="0.2"/>
  <cols>
    <col min="1" max="1" width="9.42578125" style="1" customWidth="1"/>
    <col min="2" max="2" width="15.42578125" style="9" customWidth="1"/>
    <col min="3" max="3" width="28.42578125" style="7" customWidth="1"/>
    <col min="4" max="5" width="12.85546875" style="8" customWidth="1"/>
    <col min="6" max="7" width="11.42578125" style="7" customWidth="1"/>
    <col min="8" max="8" width="12.42578125" style="7" customWidth="1"/>
    <col min="9" max="9" width="36" style="1" customWidth="1"/>
    <col min="10" max="10" width="30.85546875" style="1" customWidth="1"/>
    <col min="11" max="16384" width="11.42578125" style="1"/>
  </cols>
  <sheetData>
    <row r="1" spans="1:10" ht="34.5" customHeight="1" x14ac:dyDescent="0.2">
      <c r="A1" s="4" t="s">
        <v>131</v>
      </c>
      <c r="B1" s="4" t="s">
        <v>30</v>
      </c>
      <c r="C1" s="4" t="s">
        <v>130</v>
      </c>
      <c r="D1" s="17" t="s">
        <v>129</v>
      </c>
      <c r="E1" s="17" t="s">
        <v>128</v>
      </c>
      <c r="F1" s="17" t="s">
        <v>127</v>
      </c>
      <c r="G1" s="17" t="s">
        <v>126</v>
      </c>
      <c r="H1" s="17" t="s">
        <v>125</v>
      </c>
      <c r="I1" s="4" t="s">
        <v>124</v>
      </c>
      <c r="J1" s="17" t="s">
        <v>123</v>
      </c>
    </row>
    <row r="2" spans="1:10" ht="34.5" customHeight="1" x14ac:dyDescent="0.2">
      <c r="A2" s="2" t="s">
        <v>121</v>
      </c>
      <c r="B2" s="12" t="s">
        <v>120</v>
      </c>
      <c r="C2" s="2" t="s">
        <v>122</v>
      </c>
      <c r="D2" s="17">
        <v>0</v>
      </c>
      <c r="E2" s="17">
        <v>0</v>
      </c>
      <c r="F2" s="17"/>
      <c r="G2" s="17"/>
      <c r="H2" s="17"/>
      <c r="I2" s="4"/>
      <c r="J2" s="17"/>
    </row>
    <row r="3" spans="1:10" ht="34.5" customHeight="1" x14ac:dyDescent="0.2">
      <c r="A3" s="2" t="s">
        <v>121</v>
      </c>
      <c r="B3" s="12" t="s">
        <v>120</v>
      </c>
      <c r="C3" s="2" t="s">
        <v>119</v>
      </c>
      <c r="D3" s="11">
        <v>0.15</v>
      </c>
      <c r="E3" s="11">
        <v>0.15</v>
      </c>
      <c r="F3" s="10">
        <v>0.15</v>
      </c>
      <c r="G3" s="10">
        <v>0.15</v>
      </c>
      <c r="H3" s="10"/>
      <c r="I3" s="2"/>
    </row>
    <row r="4" spans="1:10" ht="34.5" customHeight="1" x14ac:dyDescent="0.2">
      <c r="A4" s="2" t="s">
        <v>118</v>
      </c>
      <c r="B4" s="12" t="s">
        <v>117</v>
      </c>
      <c r="C4" s="2" t="s">
        <v>116</v>
      </c>
      <c r="D4" s="11">
        <v>0.2</v>
      </c>
      <c r="E4" s="11">
        <v>0.2</v>
      </c>
      <c r="F4" s="10">
        <v>0.05</v>
      </c>
      <c r="G4" s="10">
        <v>0.05</v>
      </c>
      <c r="H4" s="10"/>
      <c r="I4" s="2"/>
    </row>
    <row r="5" spans="1:10" ht="63.75" x14ac:dyDescent="0.2">
      <c r="A5" s="15" t="s">
        <v>115</v>
      </c>
      <c r="B5" s="12" t="s">
        <v>114</v>
      </c>
      <c r="C5" s="2" t="s">
        <v>113</v>
      </c>
      <c r="D5" s="11">
        <v>0.25</v>
      </c>
      <c r="E5" s="11">
        <v>0.22</v>
      </c>
      <c r="F5" s="10">
        <v>0.05</v>
      </c>
      <c r="G5" s="10">
        <v>0.02</v>
      </c>
      <c r="H5" s="16">
        <f>G5-F5</f>
        <v>-3.0000000000000002E-2</v>
      </c>
      <c r="I5" s="2" t="s">
        <v>112</v>
      </c>
    </row>
    <row r="6" spans="1:10" ht="38.25" x14ac:dyDescent="0.2">
      <c r="A6" s="2" t="s">
        <v>111</v>
      </c>
      <c r="B6" s="12" t="s">
        <v>110</v>
      </c>
      <c r="C6" s="2" t="s">
        <v>109</v>
      </c>
      <c r="D6" s="11">
        <v>0.3</v>
      </c>
      <c r="E6" s="11">
        <v>0.3</v>
      </c>
      <c r="F6" s="10">
        <v>0.05</v>
      </c>
      <c r="G6" s="10">
        <v>0.08</v>
      </c>
      <c r="H6" s="14">
        <f>G6-F6</f>
        <v>0.03</v>
      </c>
      <c r="J6" s="13" t="s">
        <v>108</v>
      </c>
    </row>
    <row r="7" spans="1:10" ht="34.5" customHeight="1" x14ac:dyDescent="0.2">
      <c r="A7" s="2" t="s">
        <v>107</v>
      </c>
      <c r="B7" s="12" t="s">
        <v>106</v>
      </c>
      <c r="C7" s="2" t="s">
        <v>105</v>
      </c>
      <c r="D7" s="11">
        <v>0.4</v>
      </c>
      <c r="E7" s="11">
        <v>0.4</v>
      </c>
      <c r="F7" s="10">
        <v>0.1</v>
      </c>
      <c r="G7" s="10">
        <v>0.1</v>
      </c>
      <c r="H7" s="10"/>
      <c r="I7" s="2"/>
    </row>
    <row r="8" spans="1:10" ht="34.5" customHeight="1" x14ac:dyDescent="0.2">
      <c r="A8" s="15" t="s">
        <v>104</v>
      </c>
      <c r="B8" s="12" t="s">
        <v>103</v>
      </c>
      <c r="C8" s="2" t="s">
        <v>102</v>
      </c>
      <c r="D8" s="11">
        <v>0.5</v>
      </c>
      <c r="E8" s="11">
        <v>0.45</v>
      </c>
      <c r="F8" s="10">
        <v>0.1</v>
      </c>
      <c r="G8" s="10">
        <v>0.05</v>
      </c>
      <c r="H8" s="16">
        <f t="shared" ref="H8:H13" si="0">G8-F8</f>
        <v>-0.05</v>
      </c>
      <c r="I8" s="2" t="s">
        <v>101</v>
      </c>
    </row>
    <row r="9" spans="1:10" ht="51" x14ac:dyDescent="0.2">
      <c r="A9" s="2" t="s">
        <v>100</v>
      </c>
      <c r="B9" s="12" t="s">
        <v>99</v>
      </c>
      <c r="C9" s="2" t="s">
        <v>98</v>
      </c>
      <c r="D9" s="11">
        <v>0.55000000000000004</v>
      </c>
      <c r="E9" s="11">
        <v>0.55000000000000004</v>
      </c>
      <c r="F9" s="10">
        <v>0.05</v>
      </c>
      <c r="G9" s="10">
        <v>0.1</v>
      </c>
      <c r="H9" s="14">
        <f t="shared" si="0"/>
        <v>0.05</v>
      </c>
      <c r="I9" s="2"/>
      <c r="J9" s="13" t="s">
        <v>97</v>
      </c>
    </row>
    <row r="10" spans="1:10" ht="34.5" customHeight="1" x14ac:dyDescent="0.2">
      <c r="A10" s="15" t="s">
        <v>96</v>
      </c>
      <c r="B10" s="12" t="s">
        <v>95</v>
      </c>
      <c r="C10" s="2" t="s">
        <v>94</v>
      </c>
      <c r="D10" s="11">
        <v>0.65</v>
      </c>
      <c r="E10" s="11">
        <v>0.62</v>
      </c>
      <c r="F10" s="10">
        <v>0.1</v>
      </c>
      <c r="G10" s="10">
        <v>7.0000000000000007E-2</v>
      </c>
      <c r="H10" s="16">
        <f t="shared" si="0"/>
        <v>-0.03</v>
      </c>
      <c r="I10" s="2" t="s">
        <v>93</v>
      </c>
    </row>
    <row r="11" spans="1:10" ht="34.5" customHeight="1" x14ac:dyDescent="0.2">
      <c r="A11" s="15" t="s">
        <v>92</v>
      </c>
      <c r="B11" s="12" t="s">
        <v>91</v>
      </c>
      <c r="C11" s="2" t="s">
        <v>90</v>
      </c>
      <c r="D11" s="11">
        <v>0.75</v>
      </c>
      <c r="E11" s="11">
        <v>0.7</v>
      </c>
      <c r="F11" s="10">
        <v>0.1</v>
      </c>
      <c r="G11" s="10">
        <v>0.08</v>
      </c>
      <c r="H11" s="16">
        <f t="shared" si="0"/>
        <v>-2.0000000000000004E-2</v>
      </c>
      <c r="I11" s="2" t="s">
        <v>89</v>
      </c>
    </row>
    <row r="12" spans="1:10" ht="37.5" customHeight="1" x14ac:dyDescent="0.2">
      <c r="A12" s="15" t="s">
        <v>88</v>
      </c>
      <c r="B12" s="12" t="s">
        <v>87</v>
      </c>
      <c r="C12" s="2" t="s">
        <v>86</v>
      </c>
      <c r="D12" s="11">
        <v>0.8</v>
      </c>
      <c r="E12" s="11">
        <v>0.77</v>
      </c>
      <c r="F12" s="10">
        <v>0.05</v>
      </c>
      <c r="G12" s="10">
        <v>7.0000000000000007E-2</v>
      </c>
      <c r="H12" s="14">
        <f t="shared" si="0"/>
        <v>2.0000000000000004E-2</v>
      </c>
      <c r="I12" s="2"/>
      <c r="J12" s="13" t="s">
        <v>85</v>
      </c>
    </row>
    <row r="13" spans="1:10" ht="44.25" customHeight="1" x14ac:dyDescent="0.2">
      <c r="A13" s="2" t="s">
        <v>84</v>
      </c>
      <c r="B13" s="12" t="s">
        <v>83</v>
      </c>
      <c r="C13" s="2" t="s">
        <v>82</v>
      </c>
      <c r="D13" s="11">
        <v>0.9</v>
      </c>
      <c r="E13" s="11">
        <v>0.9</v>
      </c>
      <c r="F13" s="10">
        <v>0.1</v>
      </c>
      <c r="G13" s="10">
        <v>0.13</v>
      </c>
      <c r="H13" s="14">
        <f t="shared" si="0"/>
        <v>0.03</v>
      </c>
      <c r="I13" s="2"/>
      <c r="J13" s="13" t="s">
        <v>81</v>
      </c>
    </row>
    <row r="14" spans="1:10" ht="34.5" customHeight="1" x14ac:dyDescent="0.2">
      <c r="A14" s="2" t="s">
        <v>80</v>
      </c>
      <c r="B14" s="12" t="s">
        <v>79</v>
      </c>
      <c r="C14" s="2" t="s">
        <v>78</v>
      </c>
      <c r="D14" s="11">
        <v>0.95</v>
      </c>
      <c r="E14" s="11">
        <v>0.95</v>
      </c>
      <c r="F14" s="10">
        <v>0.05</v>
      </c>
      <c r="G14" s="10">
        <v>0.05</v>
      </c>
      <c r="H14" s="10"/>
      <c r="I14" s="2"/>
    </row>
    <row r="15" spans="1:10" ht="34.5" customHeight="1" x14ac:dyDescent="0.2">
      <c r="A15" s="2" t="s">
        <v>77</v>
      </c>
      <c r="B15" s="12" t="s">
        <v>76</v>
      </c>
      <c r="C15" s="2" t="s">
        <v>75</v>
      </c>
      <c r="D15" s="11">
        <v>1</v>
      </c>
      <c r="E15" s="11">
        <v>1</v>
      </c>
      <c r="F15" s="10">
        <v>0.05</v>
      </c>
      <c r="G15" s="10">
        <v>0.05</v>
      </c>
      <c r="H15" s="10"/>
      <c r="I1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740C7-15CB-4C1D-A2F7-54CC715C0D96}">
  <dimension ref="A1"/>
  <sheetViews>
    <sheetView tabSelected="1" workbookViewId="0">
      <selection activeCell="R16" sqref="R1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Cursa S Desv</vt:lpstr>
      <vt:lpstr>Curva S</vt:lpstr>
      <vt:lpstr>Grafico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Dyland Martinez</dc:creator>
  <cp:lastModifiedBy>Dyland Martinez</cp:lastModifiedBy>
  <dcterms:created xsi:type="dcterms:W3CDTF">2025-11-14T07:32:56Z</dcterms:created>
  <dcterms:modified xsi:type="dcterms:W3CDTF">2025-11-20T04:08:26Z</dcterms:modified>
</cp:coreProperties>
</file>