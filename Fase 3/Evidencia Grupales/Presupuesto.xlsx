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Escritorio\Capstone\Entrega 1\Documentos actualizados\"/>
    </mc:Choice>
  </mc:AlternateContent>
  <xr:revisionPtr revIDLastSave="0" documentId="13_ncr:1_{5009F2D6-C6D7-48FA-ACD5-CC3159F5988A}" xr6:coauthVersionLast="47" xr6:coauthVersionMax="47" xr10:uidLastSave="{00000000-0000-0000-0000-000000000000}"/>
  <bookViews>
    <workbookView xWindow="-120" yWindow="-120" windowWidth="29040" windowHeight="15720" xr2:uid="{164D7639-2386-4E6F-BB7D-E5B107DA22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9" i="1" l="1"/>
  <c r="H16" i="1"/>
  <c r="H8" i="1"/>
  <c r="D19" i="1"/>
  <c r="D20" i="1" s="1"/>
  <c r="D8" i="1"/>
</calcChain>
</file>

<file path=xl/sharedStrings.xml><?xml version="1.0" encoding="utf-8"?>
<sst xmlns="http://schemas.openxmlformats.org/spreadsheetml/2006/main" count="63" uniqueCount="48">
  <si>
    <t>Rubro</t>
  </si>
  <si>
    <t>Detalle</t>
  </si>
  <si>
    <t>Costo (CLP)</t>
  </si>
  <si>
    <t>Recursos Humanos</t>
  </si>
  <si>
    <t>Subtotal RH</t>
  </si>
  <si>
    <t>Subtotal Infraestructura</t>
  </si>
  <si>
    <t>Marketing/Difusión</t>
  </si>
  <si>
    <t>Subtotal Marketing</t>
  </si>
  <si>
    <t>TOTAL PROYECTO</t>
  </si>
  <si>
    <t>Jefe de Proyecto (Dyland) – $800.000 × 4 meses</t>
  </si>
  <si>
    <t>QA Funcional (Polet) – $700.000 × 4 meses</t>
  </si>
  <si>
    <t>Desarrolladora (Fernanda) – $1.200.000 × 4 meses</t>
  </si>
  <si>
    <t>Hosting API + Web (App Service/IIS/Azure) – $60.000 × 12 meses</t>
  </si>
  <si>
    <t>Backups/Almacenamiento extra – $5.000 × 12</t>
  </si>
  <si>
    <t>Monitoreo / Logs básicos – $5.000 × 12</t>
  </si>
  <si>
    <t>Tráfico / egreso estimado – $5.000 × 12</t>
  </si>
  <si>
    <t>Infraestructura mensual</t>
  </si>
  <si>
    <t>Dominio .cl/.com anual</t>
  </si>
  <si>
    <t>Google Play Developer (pago único)</t>
  </si>
  <si>
    <t>Apple Developer (anual)</t>
  </si>
  <si>
    <t>Subtotal Publicación</t>
  </si>
  <si>
    <t>Dominio y Publicacion</t>
  </si>
  <si>
    <t>Base de datos SQL administrada (SQL) – $45.000 × 12</t>
  </si>
  <si>
    <t>Horas extra / soporte proyecto (10% del subtotal RH)</t>
  </si>
  <si>
    <t>Almacenamiento (Blob Storage para imágenes) $3.000x12</t>
  </si>
  <si>
    <t>Certificado SSL anual</t>
  </si>
  <si>
    <t>Contingencia (10%)</t>
  </si>
  <si>
    <t>Optimización y pruebas de tienda(pago unico)</t>
  </si>
  <si>
    <t xml:space="preserve">Publicidad digital inicial (Facebook/Instagram Ads) </t>
  </si>
  <si>
    <t xml:space="preserve"> Contenido promocional (textos, copies, guiones) </t>
  </si>
  <si>
    <t xml:space="preserve"> Material obligatorio para App Store/Google Play </t>
  </si>
  <si>
    <t xml:space="preserve">Diseño material gráfico (mockups, iconos, banners) </t>
  </si>
  <si>
    <t>Soporte post implementacion</t>
  </si>
  <si>
    <t>Corrección de bugs en producción 30 Dias</t>
  </si>
  <si>
    <t>Ajustes urgentes a la API 30 Dias</t>
  </si>
  <si>
    <t>Caídas o fallos inesperados 30 Dias</t>
  </si>
  <si>
    <t>Monitoreo y atención a usuarios 30 Dias</t>
  </si>
  <si>
    <t>Ajustes menores en diseño o flujos 30 Dias</t>
  </si>
  <si>
    <t>Actualización rápida si la app store rechaza algo 30 Dias</t>
  </si>
  <si>
    <t>RESERVA DE RIESGOS</t>
  </si>
  <si>
    <t>Retrabajo no previsto (pago único)</t>
  </si>
  <si>
    <t>Ajustes por cambios menores(pago único)</t>
  </si>
  <si>
    <t>Correcciones que surgen fuera del alcance(pago único)</t>
  </si>
  <si>
    <t>Fallos inesperados del API(pago único)</t>
  </si>
  <si>
    <t>Problemas de ambiente o despliegue(pago único)</t>
  </si>
  <si>
    <t>Retrasos de cualquiera de los roles(pago único)</t>
  </si>
  <si>
    <t>Subtotal Soporte</t>
  </si>
  <si>
    <t>Subtotal RIESGOS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</si>
</sst>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6" fontId="0" fillId="0" borderId="0" xfId="0" applyNumberFormat="1" applyAlignment="1">
      <alignment vertical="center" wrapText="1"/>
    </xf>
    <xf numFmtId="6" fontId="1" fillId="0" borderId="0" xfId="0" applyNumberFormat="1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6" fontId="0" fillId="0" borderId="3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4" borderId="4" xfId="0" applyFont="1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6" fontId="1" fillId="4" borderId="6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6" fontId="1" fillId="0" borderId="1" xfId="0" applyNumberFormat="1" applyFont="1" applyBorder="1" applyAlignment="1">
      <alignment horizontal="center" vertical="center" wrapText="1"/>
    </xf>
    <xf numFmtId="6" fontId="0" fillId="0" borderId="0" xfId="0" applyNumberFormat="1"/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6" fontId="0" fillId="0" borderId="3" xfId="0" applyNumberFormat="1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3075-1D89-46B3-B565-DB4C8B218405}">
  <dimension ref="B3:P31"/>
  <sheetViews>
    <sheetView tabSelected="1" workbookViewId="0">
      <selection activeCell="K18" sqref="K18"/>
    </sheetView>
  </sheetViews>
  <sheetFormatPr baseColWidth="10" defaultRowHeight="15" x14ac:dyDescent="0.25"/>
  <cols>
    <col min="1" max="1" width="8.7109375" customWidth="1"/>
    <col min="2" max="2" width="18.5703125" customWidth="1"/>
    <col min="3" max="3" width="50.140625" customWidth="1"/>
    <col min="4" max="4" width="20.28515625" bestFit="1" customWidth="1"/>
    <col min="5" max="5" width="8.140625" customWidth="1"/>
    <col min="6" max="6" width="19.28515625" customWidth="1"/>
    <col min="7" max="7" width="43" customWidth="1"/>
    <col min="8" max="8" width="11.5703125" customWidth="1"/>
    <col min="9" max="9" width="6.28515625" customWidth="1"/>
    <col min="10" max="10" width="11.7109375" customWidth="1"/>
    <col min="11" max="11" width="31.28515625" customWidth="1"/>
    <col min="13" max="13" width="8" customWidth="1"/>
    <col min="14" max="14" width="19.140625" customWidth="1"/>
    <col min="15" max="15" width="30.28515625" customWidth="1"/>
  </cols>
  <sheetData>
    <row r="3" spans="2:16" x14ac:dyDescent="0.25">
      <c r="B3" s="14" t="s">
        <v>0</v>
      </c>
      <c r="C3" s="14" t="s">
        <v>1</v>
      </c>
      <c r="D3" s="14" t="s">
        <v>2</v>
      </c>
      <c r="F3" s="10" t="s">
        <v>0</v>
      </c>
      <c r="G3" s="11" t="s">
        <v>1</v>
      </c>
      <c r="H3" s="12" t="s">
        <v>2</v>
      </c>
      <c r="J3" s="1"/>
      <c r="K3" s="1"/>
      <c r="L3" s="1"/>
      <c r="N3" s="1"/>
      <c r="O3" s="1"/>
      <c r="P3" s="1"/>
    </row>
    <row r="4" spans="2:16" ht="30" x14ac:dyDescent="0.25">
      <c r="B4" s="13" t="s">
        <v>3</v>
      </c>
      <c r="C4" s="7" t="s">
        <v>9</v>
      </c>
      <c r="D4" s="8">
        <v>3200000</v>
      </c>
      <c r="F4" s="13" t="s">
        <v>21</v>
      </c>
      <c r="G4" s="7" t="s">
        <v>17</v>
      </c>
      <c r="H4" s="8">
        <v>18000</v>
      </c>
      <c r="J4" s="3"/>
      <c r="K4" s="2"/>
      <c r="L4" s="4"/>
      <c r="N4" s="3"/>
      <c r="O4" s="2"/>
      <c r="P4" s="4"/>
    </row>
    <row r="5" spans="2:16" x14ac:dyDescent="0.25">
      <c r="B5" s="9"/>
      <c r="C5" s="7" t="s">
        <v>10</v>
      </c>
      <c r="D5" s="8">
        <v>2800000</v>
      </c>
      <c r="F5" s="6"/>
      <c r="G5" s="7" t="s">
        <v>18</v>
      </c>
      <c r="H5" s="8">
        <v>25000</v>
      </c>
      <c r="J5" s="2"/>
      <c r="K5" s="2"/>
      <c r="L5" s="4"/>
      <c r="N5" s="3"/>
      <c r="O5" s="2"/>
      <c r="P5" s="5"/>
    </row>
    <row r="6" spans="2:16" x14ac:dyDescent="0.25">
      <c r="B6" s="9"/>
      <c r="C6" s="7" t="s">
        <v>11</v>
      </c>
      <c r="D6" s="8">
        <v>4800000</v>
      </c>
      <c r="F6" s="6"/>
      <c r="G6" t="s">
        <v>27</v>
      </c>
      <c r="H6" s="8">
        <v>60000</v>
      </c>
      <c r="J6" s="3"/>
      <c r="K6" s="2"/>
      <c r="L6" s="4"/>
    </row>
    <row r="7" spans="2:16" x14ac:dyDescent="0.25">
      <c r="C7" t="s">
        <v>23</v>
      </c>
      <c r="D7" s="23">
        <v>1080000</v>
      </c>
      <c r="F7" s="9"/>
      <c r="G7" s="7" t="s">
        <v>19</v>
      </c>
      <c r="H7" s="8">
        <v>95000</v>
      </c>
      <c r="J7" s="2"/>
      <c r="K7" s="2"/>
      <c r="L7" s="4"/>
    </row>
    <row r="8" spans="2:16" x14ac:dyDescent="0.25">
      <c r="B8" s="16" t="s">
        <v>4</v>
      </c>
      <c r="C8" s="17"/>
      <c r="D8" s="18">
        <f>SUM(D4:D7)</f>
        <v>11880000</v>
      </c>
      <c r="F8" s="17" t="s">
        <v>20</v>
      </c>
      <c r="G8" s="17"/>
      <c r="H8" s="18">
        <f>SUM(H4:H7)</f>
        <v>198000</v>
      </c>
      <c r="J8" s="3"/>
      <c r="K8" s="2"/>
      <c r="L8" s="5"/>
    </row>
    <row r="9" spans="2:16" x14ac:dyDescent="0.25">
      <c r="F9" s="3"/>
      <c r="G9" s="2"/>
      <c r="H9" s="5"/>
    </row>
    <row r="11" spans="2:16" ht="30" x14ac:dyDescent="0.25">
      <c r="B11" s="14" t="s">
        <v>0</v>
      </c>
      <c r="C11" s="11" t="s">
        <v>1</v>
      </c>
      <c r="D11" s="12" t="s">
        <v>2</v>
      </c>
      <c r="F11" s="10" t="s">
        <v>0</v>
      </c>
      <c r="G11" s="11" t="s">
        <v>1</v>
      </c>
      <c r="H11" s="12" t="s">
        <v>2</v>
      </c>
    </row>
    <row r="12" spans="2:16" ht="30" x14ac:dyDescent="0.25">
      <c r="B12" s="19" t="s">
        <v>16</v>
      </c>
      <c r="C12" s="7" t="s">
        <v>12</v>
      </c>
      <c r="D12" s="8">
        <v>720000</v>
      </c>
      <c r="F12" s="13" t="s">
        <v>6</v>
      </c>
      <c r="G12" t="s">
        <v>31</v>
      </c>
      <c r="H12" s="8">
        <v>120000</v>
      </c>
    </row>
    <row r="13" spans="2:16" x14ac:dyDescent="0.25">
      <c r="B13" s="24"/>
      <c r="C13" t="s">
        <v>24</v>
      </c>
      <c r="D13" s="8">
        <v>36000</v>
      </c>
      <c r="F13" s="25"/>
      <c r="G13" t="s">
        <v>28</v>
      </c>
      <c r="H13" s="27">
        <v>100000</v>
      </c>
    </row>
    <row r="14" spans="2:16" x14ac:dyDescent="0.25">
      <c r="B14" s="9"/>
      <c r="C14" s="7" t="s">
        <v>22</v>
      </c>
      <c r="D14" s="8">
        <v>540000</v>
      </c>
      <c r="F14" s="26"/>
      <c r="G14" t="s">
        <v>29</v>
      </c>
      <c r="H14" s="27">
        <v>40000</v>
      </c>
    </row>
    <row r="15" spans="2:16" x14ac:dyDescent="0.25">
      <c r="B15" s="9"/>
      <c r="C15" s="7" t="s">
        <v>13</v>
      </c>
      <c r="D15" s="8">
        <v>60000</v>
      </c>
      <c r="F15" s="26"/>
      <c r="G15" t="s">
        <v>30</v>
      </c>
      <c r="H15" s="27">
        <v>60000</v>
      </c>
    </row>
    <row r="16" spans="2:16" x14ac:dyDescent="0.25">
      <c r="B16" s="9"/>
      <c r="C16" s="7" t="s">
        <v>14</v>
      </c>
      <c r="D16" s="8">
        <v>60000</v>
      </c>
      <c r="F16" s="20" t="s">
        <v>7</v>
      </c>
      <c r="G16" s="17"/>
      <c r="H16" s="18">
        <f>SUM(H12:H15)</f>
        <v>320000</v>
      </c>
    </row>
    <row r="17" spans="2:8" x14ac:dyDescent="0.25">
      <c r="B17" s="9"/>
      <c r="C17" t="s">
        <v>25</v>
      </c>
      <c r="D17" s="8">
        <v>10000</v>
      </c>
    </row>
    <row r="18" spans="2:8" ht="30" x14ac:dyDescent="0.25">
      <c r="B18" s="9"/>
      <c r="C18" s="7" t="s">
        <v>15</v>
      </c>
      <c r="D18" s="8">
        <v>60000</v>
      </c>
      <c r="F18" s="10" t="s">
        <v>0</v>
      </c>
      <c r="G18" s="11" t="s">
        <v>1</v>
      </c>
      <c r="H18" s="12" t="s">
        <v>2</v>
      </c>
    </row>
    <row r="19" spans="2:8" x14ac:dyDescent="0.25">
      <c r="B19" s="9"/>
      <c r="C19" t="s">
        <v>26</v>
      </c>
      <c r="D19" s="23">
        <f>SUM(D12:D18)*0.1</f>
        <v>148600</v>
      </c>
      <c r="F19" s="13" t="s">
        <v>39</v>
      </c>
      <c r="G19" s="28" t="s">
        <v>40</v>
      </c>
      <c r="H19" s="8"/>
    </row>
    <row r="20" spans="2:8" ht="30" x14ac:dyDescent="0.25">
      <c r="B20" s="16" t="s">
        <v>5</v>
      </c>
      <c r="C20" s="17"/>
      <c r="D20" s="18">
        <f>SUM(D12:D19)</f>
        <v>1634600</v>
      </c>
      <c r="F20" s="25"/>
      <c r="G20" s="28" t="s">
        <v>41</v>
      </c>
      <c r="H20" s="8"/>
    </row>
    <row r="21" spans="2:8" x14ac:dyDescent="0.25">
      <c r="F21" s="26"/>
      <c r="G21" s="28" t="s">
        <v>42</v>
      </c>
      <c r="H21" s="8"/>
    </row>
    <row r="22" spans="2:8" x14ac:dyDescent="0.25">
      <c r="B22" s="14" t="s">
        <v>0</v>
      </c>
      <c r="C22" s="11" t="s">
        <v>1</v>
      </c>
      <c r="D22" s="12" t="s">
        <v>2</v>
      </c>
      <c r="F22" s="26"/>
      <c r="G22" s="28" t="s">
        <v>43</v>
      </c>
      <c r="H22" s="8"/>
    </row>
    <row r="23" spans="2:8" ht="30" x14ac:dyDescent="0.25">
      <c r="B23" s="19" t="s">
        <v>32</v>
      </c>
      <c r="C23" s="28" t="s">
        <v>33</v>
      </c>
      <c r="D23" s="8"/>
      <c r="F23" s="26"/>
      <c r="G23" s="28" t="s">
        <v>44</v>
      </c>
      <c r="H23" s="27"/>
    </row>
    <row r="24" spans="2:8" x14ac:dyDescent="0.25">
      <c r="B24" s="24"/>
      <c r="C24" t="s">
        <v>34</v>
      </c>
      <c r="D24" s="8"/>
      <c r="F24" s="26"/>
      <c r="G24" s="28" t="s">
        <v>45</v>
      </c>
      <c r="H24" s="27"/>
    </row>
    <row r="25" spans="2:8" x14ac:dyDescent="0.25">
      <c r="B25" s="9"/>
      <c r="C25" t="s">
        <v>35</v>
      </c>
      <c r="D25" s="8"/>
      <c r="F25" s="26"/>
      <c r="H25" s="27"/>
    </row>
    <row r="26" spans="2:8" x14ac:dyDescent="0.25">
      <c r="B26" s="9"/>
      <c r="C26" t="s">
        <v>36</v>
      </c>
      <c r="D26" s="8"/>
      <c r="F26" s="20" t="s">
        <v>47</v>
      </c>
      <c r="G26" s="17"/>
      <c r="H26" s="18">
        <v>1423260</v>
      </c>
    </row>
    <row r="27" spans="2:8" x14ac:dyDescent="0.25">
      <c r="B27" s="9"/>
      <c r="C27" t="s">
        <v>37</v>
      </c>
      <c r="D27" s="8"/>
    </row>
    <row r="28" spans="2:8" s="15" customFormat="1" x14ac:dyDescent="0.25">
      <c r="B28" s="9"/>
      <c r="C28" t="s">
        <v>38</v>
      </c>
      <c r="D28" s="8"/>
      <c r="F28"/>
      <c r="G28"/>
      <c r="H28"/>
    </row>
    <row r="29" spans="2:8" x14ac:dyDescent="0.25">
      <c r="B29" s="16" t="s">
        <v>46</v>
      </c>
      <c r="C29" s="17"/>
      <c r="D29" s="18">
        <v>200000</v>
      </c>
      <c r="F29" s="21" t="s">
        <v>8</v>
      </c>
      <c r="G29" s="22">
        <f>D8+H8+H16+D20+D29+H26</f>
        <v>15655860</v>
      </c>
    </row>
    <row r="31" spans="2:8" x14ac:dyDescent="0.25">
      <c r="F31" s="15"/>
      <c r="G31" s="15"/>
      <c r="H3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Dyland Martinez</dc:creator>
  <cp:lastModifiedBy>Dyland Martinez</cp:lastModifiedBy>
  <dcterms:created xsi:type="dcterms:W3CDTF">2025-09-25T00:08:42Z</dcterms:created>
  <dcterms:modified xsi:type="dcterms:W3CDTF">2025-11-15T06:58:04Z</dcterms:modified>
</cp:coreProperties>
</file>