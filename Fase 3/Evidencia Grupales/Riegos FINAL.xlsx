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\Escritorio\Capstone\Entrega 1\Documentos actualizados\"/>
    </mc:Choice>
  </mc:AlternateContent>
  <xr:revisionPtr revIDLastSave="0" documentId="13_ncr:1_{7BB3F3C3-CDC1-4B80-BA4D-58E944874063}" xr6:coauthVersionLast="47" xr6:coauthVersionMax="47" xr10:uidLastSave="{00000000-0000-0000-0000-000000000000}"/>
  <bookViews>
    <workbookView xWindow="-120" yWindow="-120" windowWidth="29040" windowHeight="15720" tabRatio="612" activeTab="1" xr2:uid="{00000000-000D-0000-FFFF-FFFF00000000}"/>
  </bookViews>
  <sheets>
    <sheet name="Referencias de Riesgos" sheetId="7" r:id="rId1"/>
    <sheet name="Tabla de riesgos" sheetId="8" r:id="rId2"/>
    <sheet name="Hoja1" sheetId="18" r:id="rId3"/>
    <sheet name="11-10" sheetId="10" r:id="rId4"/>
    <sheet name="17-10" sheetId="11" r:id="rId5"/>
    <sheet name="25-10" sheetId="12" r:id="rId6"/>
    <sheet name="08-11" sheetId="14" r:id="rId7"/>
    <sheet name="15-11" sheetId="16" r:id="rId8"/>
    <sheet name="22-11" sheetId="19" r:id="rId9"/>
    <sheet name="Panel" sheetId="9" r:id="rId10"/>
  </sheets>
  <definedNames>
    <definedName name="_xlnm._FilterDatabase" localSheetId="6" hidden="1">'08-11'!$B$5:$L$19</definedName>
    <definedName name="_xlnm._FilterDatabase" localSheetId="7" hidden="1">'15-11'!$A$1:$K$10</definedName>
    <definedName name="_xlnm._FilterDatabase" localSheetId="4" hidden="1">'17-10'!$B$3:$M$14</definedName>
    <definedName name="_xlnm._FilterDatabase" localSheetId="8" hidden="1">'22-11'!$A$1:$L$11</definedName>
    <definedName name="_xlnm._FilterDatabase" localSheetId="5" hidden="1">'25-10'!$B$2:$N$13</definedName>
    <definedName name="_xlnm._FilterDatabase" localSheetId="1" hidden="1">'Tabla de riesgos'!$A$1:$M$37</definedName>
  </definedNames>
  <calcPr calcId="191029"/>
  <pivotCaches>
    <pivotCache cacheId="9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7" i="8" l="1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M13" i="9"/>
  <c r="O13" i="9"/>
  <c r="N13" i="9"/>
  <c r="O12" i="9"/>
  <c r="N12" i="9"/>
  <c r="M12" i="9"/>
  <c r="O11" i="9"/>
  <c r="N11" i="9"/>
  <c r="M11" i="9"/>
  <c r="F22" i="7"/>
  <c r="G22" i="7"/>
  <c r="H22" i="7"/>
  <c r="F23" i="7"/>
  <c r="G23" i="7"/>
  <c r="H23" i="7"/>
  <c r="F24" i="7"/>
  <c r="G24" i="7"/>
  <c r="H24" i="7"/>
</calcChain>
</file>

<file path=xl/sharedStrings.xml><?xml version="1.0" encoding="utf-8"?>
<sst xmlns="http://schemas.openxmlformats.org/spreadsheetml/2006/main" count="971" uniqueCount="175">
  <si>
    <t>Impacto</t>
  </si>
  <si>
    <t>Alto</t>
  </si>
  <si>
    <t>Bajo</t>
  </si>
  <si>
    <t>Probabilidad</t>
  </si>
  <si>
    <t>Nivel de Probabilidad</t>
  </si>
  <si>
    <t>Valores Probabilidad</t>
  </si>
  <si>
    <t>Comentario</t>
  </si>
  <si>
    <t>Es casi seguro</t>
  </si>
  <si>
    <t>Es bastante probable</t>
  </si>
  <si>
    <t>Podría ocurrir</t>
  </si>
  <si>
    <t>Nivel Impacto</t>
  </si>
  <si>
    <t>Valores de Impacto</t>
  </si>
  <si>
    <t>Proyecto fracasa o atraso de más de 100%</t>
  </si>
  <si>
    <t>Atraso entre 20% y 50%</t>
  </si>
  <si>
    <t>Atraso menor a un 20%</t>
  </si>
  <si>
    <t>Valor de Probabilidad</t>
  </si>
  <si>
    <t>Medio</t>
  </si>
  <si>
    <t>Baja</t>
  </si>
  <si>
    <t>Media</t>
  </si>
  <si>
    <t>Alta</t>
  </si>
  <si>
    <t>Información General del Proyecto</t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</si>
  <si>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Nombre del Proyecto</t>
    </r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</si>
  <si>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Fecha de Inicio</t>
    </r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</si>
  <si>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Fecha de Fin </t>
    </r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</si>
  <si>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Cliente </t>
    </r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</si>
  <si>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Área:</t>
    </r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</si>
  <si>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Sponsor</t>
    </r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</si>
  <si>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ID Proyecto</t>
    </r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</si>
  <si>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Gerente de Proyecto</t>
    </r>
  </si>
  <si>
    <t>REGISTRO DE RIESGOS</t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</si>
  <si>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Director del Proyecto</t>
    </r>
  </si>
  <si>
    <t>REFERENCIAS del PLAN DE GESTIÓN DE RIESGOS</t>
  </si>
  <si>
    <t>Tecnonlogia</t>
  </si>
  <si>
    <t>Direccion del Colegio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</si>
  <si>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</si>
  <si>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</si>
  <si>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</si>
  <si>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</si>
  <si>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</si>
  <si>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</si>
  <si>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</si>
  <si>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</si>
  <si>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</si>
  <si>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</si>
  <si>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</si>
  <si>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</si>
  <si>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</si>
  <si>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ID</t>
  </si>
  <si>
    <t>Descripción</t>
  </si>
  <si>
    <t>Tipo</t>
  </si>
  <si>
    <t>Magnitud (PxI)</t>
  </si>
  <si>
    <t>Estado</t>
  </si>
  <si>
    <t>Responsable</t>
  </si>
  <si>
    <t>Observaciones</t>
  </si>
  <si>
    <t>Cerrado</t>
  </si>
  <si>
    <t>Caídas o limitaciones en la API de alimentos</t>
  </si>
  <si>
    <t>Técnico</t>
  </si>
  <si>
    <t>Errores críticos no detectados en QA</t>
  </si>
  <si>
    <t>Sobrecarga del desarrollador como único recurso técnico principal</t>
  </si>
  <si>
    <t>Controlado</t>
  </si>
  <si>
    <t>Descoordinación entre integrantes por falta de comunicación</t>
  </si>
  <si>
    <t>Cambios de alcance en el proyecto</t>
  </si>
  <si>
    <t>Alcance cerrado en acta final</t>
  </si>
  <si>
    <t>Incumplimiento de fechas de entrega en tareas individuales</t>
  </si>
  <si>
    <t>Gastos no previstos en infraestructura tecnológica</t>
  </si>
  <si>
    <t>Económico</t>
  </si>
  <si>
    <t>Incremento en costos de publicación (Google Play / App Store)</t>
  </si>
  <si>
    <t>Planificar costos de despliegue con anticipación</t>
  </si>
  <si>
    <t>Extensión del tiempo del proyecto</t>
  </si>
  <si>
    <t>Ajuste del cronograma global</t>
  </si>
  <si>
    <t>R14</t>
  </si>
  <si>
    <t>R15</t>
  </si>
  <si>
    <t>Cambios en políticas de publicación de Google Play Store</t>
  </si>
  <si>
    <t>Externo</t>
  </si>
  <si>
    <t>R16</t>
  </si>
  <si>
    <t>R17</t>
  </si>
  <si>
    <t>Endpoints sin validación de datos (ej: registros vacíos)</t>
  </si>
  <si>
    <t>R18</t>
  </si>
  <si>
    <t>Pruebas de integración insuficientes (API–App Mobile–Web)</t>
  </si>
  <si>
    <t>Valor de Impacto</t>
  </si>
  <si>
    <t xml:space="preserve"> impacto</t>
  </si>
  <si>
    <t>Dyland Martinez</t>
  </si>
  <si>
    <t>Desalineación entre diseño prototipado (Figma / mockups) y el producto final</t>
  </si>
  <si>
    <t>Falta de tiempo para pruebas de usuario o validación con feedback real</t>
  </si>
  <si>
    <t>Pérdida o corrupción de archivos del proyecto (repositorio, BD, etc.)</t>
  </si>
  <si>
    <t>Errores menores de accesibilidad o legibilidad (colores, fuentes, iconos)</t>
  </si>
  <si>
    <t>No cumplir con todos los entregables documentales exigidos (PPT, informe, anexos)</t>
  </si>
  <si>
    <t>Configuración incorrecta del entorno de desarrollo web</t>
  </si>
  <si>
    <t>Plan de mitigacion</t>
  </si>
  <si>
    <t>Monitorear endpoints y constante monitoreo de la API y sus limitaciones dentro del proyecto</t>
  </si>
  <si>
    <t>Reasignar tareas, ajustes de Backlog y ayuda en la documentacion del desarrollador por parte del equipo</t>
  </si>
  <si>
    <t>Reuniones diarias y registro de acuerdos, entrega de minutas y compromisos</t>
  </si>
  <si>
    <t>Creacion de JIRA para asignacion de tareas y canal de mensajeria en WSP</t>
  </si>
  <si>
    <t xml:space="preserve">Monitoreo de uso de servicios gratuitos , actualizacion de esfuerzo en planilla de presupuesto </t>
  </si>
  <si>
    <t>Fernanda Barra (DEV)</t>
  </si>
  <si>
    <t>Polet Adasme (QA)</t>
  </si>
  <si>
    <t>Dyland Martinez (PM)</t>
  </si>
  <si>
    <t>Problemas de conexión con API CRUD desde WEB y MOBILE</t>
  </si>
  <si>
    <t>R19</t>
  </si>
  <si>
    <t>R20</t>
  </si>
  <si>
    <t>Se realiza feedBack de avance con mockups definido en el proyecto entre el desarrollador y el equipo</t>
  </si>
  <si>
    <t>Se sube los avances del desarrollo dentro de GITHUB para tener respaldo de informacion y avances</t>
  </si>
  <si>
    <t>Se define colores y accesibilidad dentro de Proyect Manager y se valida con el equipo el lineamiento a seguir</t>
  </si>
  <si>
    <t>Se realiza reuniones diarias y se planifica presentacion final dias antes de la clase</t>
  </si>
  <si>
    <t>Se realiza la configuracion en base a lo diseñado en lo mobile y se planifica respecto al desarrollo de la API CRUD</t>
  </si>
  <si>
    <t>Verificar las rutas y métodos de la API antes de integrarla en cada cliente (web y mobile). Se definen variables claras y se definen metodos a usar</t>
  </si>
  <si>
    <t>Implementar validaciones básicas en el backend para evitar registros vacíos o datos nulos.</t>
  </si>
  <si>
    <t>Seguimiento semanal</t>
  </si>
  <si>
    <t>Fecha</t>
  </si>
  <si>
    <t>Etiquetas de fila</t>
  </si>
  <si>
    <t>Total general</t>
  </si>
  <si>
    <t>Cuenta de ID</t>
  </si>
  <si>
    <t>Gestión</t>
  </si>
  <si>
    <t>Activo</t>
  </si>
  <si>
    <t>Falta de validación diferenciada entre usuarios Web y Mobile</t>
  </si>
  <si>
    <t>Falta de implementación completa del CRUD de roles y entidades</t>
  </si>
  <si>
    <t>Retraso en generación o implementación de tokens de seguridad</t>
  </si>
  <si>
    <t>R21</t>
  </si>
  <si>
    <t>R22</t>
  </si>
  <si>
    <t>R23</t>
  </si>
  <si>
    <t>Revisar dependencias y crear tokens genéricos reutilizables.</t>
  </si>
  <si>
    <t>Definir lógica de autenticación por canal antes de integrar API.</t>
  </si>
  <si>
    <t>Dividir desarrollo en módulos y validar CRUD antes de integración.</t>
  </si>
  <si>
    <t>Se vuelven a realizar pruebas implementando las logicas nuevas dentro del CRUD con la aplicación WEB</t>
  </si>
  <si>
    <t xml:space="preserve"> </t>
  </si>
  <si>
    <t>R24</t>
  </si>
  <si>
    <t>R25</t>
  </si>
  <si>
    <t>R26</t>
  </si>
  <si>
    <t>Fallos funcionales en módulo “Registrar Comida” durante QA Mobile</t>
  </si>
  <si>
    <t>Fallos en módulo “Registrar Actividad Física” durante QA Mobile</t>
  </si>
  <si>
    <t>Retraso del QA por dependencia de corrección de errores Mobile</t>
  </si>
  <si>
    <t>Riesgo de duplicar esfuerzo QA al revalidar módulos corregidos</t>
  </si>
  <si>
    <t>R27</t>
  </si>
  <si>
    <t>QA</t>
  </si>
  <si>
    <t>Se realizan las configuraciones correspondientes y se realizan las pruebas antes del QA</t>
  </si>
  <si>
    <t xml:space="preserve">Se aplican esfuerzos extras del equipo para sumar gente dentro del QA </t>
  </si>
  <si>
    <t>Se monitorea constantemente los CRUD realiazados con la API</t>
  </si>
  <si>
    <t>Se alertan sobre errores criticos, se revisa plan de pruebas y se toman reuniones de retrospectiva</t>
  </si>
  <si>
    <t>cerrado</t>
  </si>
  <si>
    <t>R28</t>
  </si>
  <si>
    <t>R29</t>
  </si>
  <si>
    <t>Retraso parcial en QA Mobile por correcciones</t>
  </si>
  <si>
    <t>R30</t>
  </si>
  <si>
    <t>R31</t>
  </si>
  <si>
    <t>Aumento de carga en QA Web por retraso del desarrollo</t>
  </si>
  <si>
    <t>R32</t>
  </si>
  <si>
    <t>Aceptado</t>
  </si>
  <si>
    <t>Cambios en fechas y tareas dentro de JIRA para seguimiento del proyecto</t>
  </si>
  <si>
    <t>Duplicación de esfuerzo en QA (revalidar módulos corregidos)(pruebas de regresion)</t>
  </si>
  <si>
    <t>Ajuste en cronograma y reordenamiento de QA Web, se duplican esfuerzos en solucion de defectos</t>
  </si>
  <si>
    <t xml:space="preserve">PM se involura en pruebas de regresion para liberacion de carga del equipo </t>
  </si>
  <si>
    <t>Se realiza un pre QA en la etapa de desarrollo para evitar nuevos defectos invalidantes</t>
  </si>
  <si>
    <t xml:space="preserve">Se documentan las modificaciones realizadas, se actualiza el backlog, se estiman las tareas de junto con el equipo completo </t>
  </si>
  <si>
    <t xml:space="preserve">Gestión </t>
  </si>
  <si>
    <t>Se realiza el ajuste de carta gannt con distribución de tareas para no afectar la entrega del proyecto</t>
  </si>
  <si>
    <t>Se ajustan los esfuerzos del equipo y se realiza reunion para nueva estimacion de tareas atrasadas</t>
  </si>
  <si>
    <t xml:space="preserve">Plan de accion </t>
  </si>
  <si>
    <t>R33</t>
  </si>
  <si>
    <t>Retraso en la finalización del mantenedor web (último módulo pendiente)</t>
  </si>
  <si>
    <t>Se prioriza el desarrollo del mantenedor y se reducen tareas no críticas. QA Web revisa en paralelo el resto de vistas</t>
  </si>
  <si>
    <t>Errores menores de integración entre módulo web y API</t>
  </si>
  <si>
    <t>Riesgo de sobrecarga de QA por validación simultánea Mobile/Web</t>
  </si>
  <si>
    <t>Falta de tiempo para revisión final de documentación técnica (ReadMe / Reportes)</t>
  </si>
  <si>
    <t>QA realiza pruebas de regresión rápidas al conectar mantenedor con API.</t>
  </si>
  <si>
    <t>Se redistribuyen casos de prueba entre QA Mobile y QA Web. Se asigna PM para apoyo en pruebas</t>
  </si>
  <si>
    <t>Se Asigna tiempo en paralelo despues de las pruebas para actualizacion de documentacion</t>
  </si>
  <si>
    <t>R34</t>
  </si>
  <si>
    <t>R35</t>
  </si>
  <si>
    <t>R36</t>
  </si>
  <si>
    <t xml:space="preserve">Gestión de Riesgos en Proyectos TI – </t>
  </si>
  <si>
    <t>Se divide la entrega a los usuarios por parte del equipo (20 encuestas por integrante del grupo)</t>
  </si>
  <si>
    <t>Se realizan pruebas dentro del Desarrollo de los productros y dentro del QA</t>
  </si>
  <si>
    <t>Se define capital dentro del proyecto extra para costos no mapeados</t>
  </si>
  <si>
    <t>Problemas de inconsitencia en entrega de documentacion final</t>
  </si>
  <si>
    <t>Se mantiene la base de la documentacion anterior respaldada y se agregan pequeñas modificaciones dentro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</si>
</sst>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9"/>
      <name val="Arial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0"/>
      <color indexed="9"/>
      <name val="Arial"/>
      <family val="2"/>
    </font>
    <font>
      <b/>
      <sz val="18"/>
      <color indexed="8"/>
      <name val="Calibri"/>
      <family val="2"/>
    </font>
    <font>
      <b/>
      <sz val="10"/>
      <name val="Arial"/>
    </font>
    <font>
      <sz val="8"/>
      <name val="Arial"/>
    </font>
    <font>
      <b/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65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47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8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3" fillId="3" borderId="0" xfId="0" applyFont="1" applyFill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0" fillId="7" borderId="2" xfId="0" applyFill="1" applyBorder="1" applyAlignment="1">
      <alignment horizontal="right"/>
    </xf>
    <xf numFmtId="0" fontId="3" fillId="3" borderId="23" xfId="0" applyFont="1" applyFill="1" applyBorder="1" applyAlignment="1">
      <alignment vertical="center" wrapText="1"/>
    </xf>
    <xf numFmtId="0" fontId="0" fillId="7" borderId="26" xfId="0" applyFill="1" applyBorder="1" applyAlignment="1">
      <alignment horizontal="left"/>
    </xf>
    <xf numFmtId="0" fontId="0" fillId="7" borderId="9" xfId="0" applyFill="1" applyBorder="1" applyAlignment="1">
      <alignment horizontal="left"/>
    </xf>
    <xf numFmtId="0" fontId="0" fillId="7" borderId="27" xfId="0" applyFill="1" applyBorder="1" applyAlignment="1">
      <alignment horizontal="left"/>
    </xf>
    <xf numFmtId="0" fontId="3" fillId="3" borderId="12" xfId="0" applyFont="1" applyFill="1" applyBorder="1" applyAlignment="1">
      <alignment vertical="center" wrapText="1"/>
    </xf>
    <xf numFmtId="0" fontId="0" fillId="12" borderId="9" xfId="0" applyFill="1" applyBorder="1" applyAlignment="1">
      <alignment horizontal="right"/>
    </xf>
    <xf numFmtId="0" fontId="3" fillId="11" borderId="23" xfId="0" applyFont="1" applyFill="1" applyBorder="1" applyAlignment="1">
      <alignment horizontal="center" vertical="center" wrapText="1"/>
    </xf>
    <xf numFmtId="0" fontId="2" fillId="7" borderId="26" xfId="0" applyFont="1" applyFill="1" applyBorder="1" applyAlignment="1">
      <alignment horizontal="left"/>
    </xf>
    <xf numFmtId="0" fontId="0" fillId="12" borderId="27" xfId="0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8" fillId="6" borderId="8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left" vertical="top" wrapText="1"/>
    </xf>
    <xf numFmtId="0" fontId="8" fillId="6" borderId="8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29" xfId="0" applyFill="1" applyBorder="1" applyAlignment="1">
      <alignment vertical="center" wrapText="1"/>
    </xf>
    <xf numFmtId="0" fontId="2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31" xfId="0" applyFont="1" applyBorder="1" applyAlignment="1">
      <alignment vertical="center" wrapText="1"/>
    </xf>
    <xf numFmtId="0" fontId="10" fillId="0" borderId="32" xfId="0" applyFont="1" applyBorder="1" applyAlignment="1">
      <alignment horizontal="center" vertical="center" wrapText="1"/>
    </xf>
    <xf numFmtId="0" fontId="0" fillId="0" borderId="29" xfId="0" applyFill="1" applyBorder="1"/>
    <xf numFmtId="0" fontId="2" fillId="0" borderId="0" xfId="0" applyFont="1" applyFill="1" applyBorder="1" applyAlignment="1">
      <alignment horizontal="center"/>
    </xf>
    <xf numFmtId="0" fontId="2" fillId="0" borderId="31" xfId="0" applyFont="1" applyFill="1" applyBorder="1" applyAlignment="1">
      <alignment horizontal="center"/>
    </xf>
    <xf numFmtId="0" fontId="2" fillId="0" borderId="0" xfId="0" applyFont="1" applyFill="1" applyBorder="1" applyAlignment="1">
      <alignment wrapText="1"/>
    </xf>
    <xf numFmtId="0" fontId="2" fillId="0" borderId="3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29" xfId="0" applyFont="1" applyFill="1" applyBorder="1" applyAlignment="1">
      <alignment vertical="center" wrapText="1"/>
    </xf>
    <xf numFmtId="16" fontId="0" fillId="0" borderId="29" xfId="0" applyNumberFormat="1" applyFill="1" applyBorder="1" applyAlignment="1">
      <alignment horizontal="center" vertical="center" wrapText="1"/>
    </xf>
    <xf numFmtId="0" fontId="1" fillId="0" borderId="33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27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16" fontId="0" fillId="0" borderId="0" xfId="0" applyNumberForma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0" fillId="0" borderId="0" xfId="0" applyBorder="1"/>
    <xf numFmtId="0" fontId="0" fillId="0" borderId="29" xfId="0" applyBorder="1"/>
    <xf numFmtId="0" fontId="0" fillId="0" borderId="35" xfId="0" applyBorder="1"/>
    <xf numFmtId="0" fontId="12" fillId="0" borderId="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8" borderId="11" xfId="0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7" borderId="18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15" fontId="3" fillId="3" borderId="2" xfId="0" applyNumberFormat="1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/>
    </xf>
    <xf numFmtId="0" fontId="2" fillId="7" borderId="18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90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4" fillId="9" borderId="20" xfId="0" applyFont="1" applyFill="1" applyBorder="1" applyAlignment="1">
      <alignment horizontal="center" vertical="center" wrapText="1"/>
    </xf>
    <xf numFmtId="0" fontId="4" fillId="9" borderId="21" xfId="0" applyFont="1" applyFill="1" applyBorder="1" applyAlignment="1">
      <alignment horizontal="center" vertical="center" wrapText="1"/>
    </xf>
    <xf numFmtId="0" fontId="7" fillId="10" borderId="22" xfId="0" applyFont="1" applyFill="1" applyBorder="1" applyAlignment="1">
      <alignment horizontal="left"/>
    </xf>
    <xf numFmtId="0" fontId="7" fillId="10" borderId="14" xfId="0" applyFont="1" applyFill="1" applyBorder="1" applyAlignment="1">
      <alignment horizontal="left"/>
    </xf>
    <xf numFmtId="0" fontId="7" fillId="10" borderId="15" xfId="0" applyFont="1" applyFill="1" applyBorder="1" applyAlignment="1">
      <alignment horizontal="left"/>
    </xf>
    <xf numFmtId="0" fontId="3" fillId="11" borderId="2" xfId="0" applyFont="1" applyFill="1" applyBorder="1" applyAlignment="1">
      <alignment horizontal="center" vertical="center" wrapText="1"/>
    </xf>
    <xf numFmtId="0" fontId="3" fillId="11" borderId="9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0" fillId="7" borderId="24" xfId="0" applyFill="1" applyBorder="1" applyAlignment="1">
      <alignment horizontal="left"/>
    </xf>
    <xf numFmtId="0" fontId="0" fillId="7" borderId="25" xfId="0" applyFill="1" applyBorder="1" applyAlignment="1">
      <alignment horizontal="left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155"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TOTAL DE RIESGOS IDENTIFICADOS</a:t>
            </a:r>
          </a:p>
        </c:rich>
      </c:tx>
      <c:layout>
        <c:manualLayout>
          <c:xMode val="edge"/>
          <c:yMode val="edge"/>
          <c:x val="0.26425074863917597"/>
          <c:y val="4.7264229518415295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2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5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6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19"/>
        <c:spPr>
          <a:solidFill>
            <a:schemeClr val="accent2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0"/>
        <c:spPr>
          <a:solidFill>
            <a:schemeClr val="accent3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92D05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3"/>
        <c:spPr>
          <a:solidFill>
            <a:schemeClr val="accent6">
              <a:lumMod val="7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4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92D05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7"/>
        <c:spPr>
          <a:solidFill>
            <a:schemeClr val="accent6">
              <a:lumMod val="7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8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2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92D05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1"/>
        <c:spPr>
          <a:solidFill>
            <a:schemeClr val="accent6">
              <a:lumMod val="7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92D050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5"/>
        <c:spPr>
          <a:solidFill>
            <a:schemeClr val="accent6">
              <a:lumMod val="75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6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7"/>
        <c:marker>
          <c:symbol val="none"/>
        </c:marker>
        <c:dLbl>
          <c:idx val="0"/>
          <c:dLblPos val="ctr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38"/>
        <c:marker>
          <c:symbol val="none"/>
        </c:marker>
        <c:dLbl>
          <c:idx val="0"/>
          <c:dLblPos val="ctr"/>
          <c:showLegendKey val="0"/>
          <c:showVal val="1"/>
          <c:showCatName val="1"/>
          <c:showSerName val="0"/>
          <c:showPercent val="0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4205549942271538E-2"/>
          <c:y val="0.15299745520254834"/>
          <c:w val="0.51655845679061785"/>
          <c:h val="0.7434386343977073"/>
        </c:manualLayout>
      </c:layout>
      <c:pieChart>
        <c:varyColors val="1"/>
        <c:ser>
          <c:idx val="0"/>
          <c:order val="0"/>
          <c:tx>
            <c:v>Total</c:v>
          </c:tx>
          <c:explosion val="1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1C-EEFB-4B76-B53D-C51332C3BD0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EEFB-4B76-B53D-C51332C3BD05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0-EEFB-4B76-B53D-C51332C3BD05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E674-4009-AB3B-87DC6BE7DC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Activo</c:v>
              </c:pt>
              <c:pt idx="1">
                <c:v>Cerrado</c:v>
              </c:pt>
              <c:pt idx="2">
                <c:v>Controlado</c:v>
              </c:pt>
              <c:pt idx="3">
                <c:v>Inactivo</c:v>
              </c:pt>
            </c:strLit>
          </c:cat>
          <c:val>
            <c:numLit>
              <c:formatCode>General</c:formatCode>
              <c:ptCount val="4"/>
              <c:pt idx="0">
                <c:v>4</c:v>
              </c:pt>
              <c:pt idx="1">
                <c:v>7</c:v>
              </c:pt>
              <c:pt idx="2">
                <c:v>4</c:v>
              </c:pt>
              <c:pt idx="3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21-EEFB-4B76-B53D-C51332C3BD0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57066787654233397"/>
          <c:y val="0.40511520344587232"/>
          <c:w val="0.31273387908998351"/>
          <c:h val="0.463873739921551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1"/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[Riegos FINAL.xlsx]Panel!TablaDinámica3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Riesgos Identificados </a:t>
            </a:r>
          </a:p>
        </c:rich>
      </c:tx>
      <c:layout>
        <c:manualLayout>
          <c:xMode val="edge"/>
          <c:yMode val="edge"/>
          <c:x val="9.2654437748354065E-2"/>
          <c:y val="4.7774158523344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0.23753166723724758"/>
              <c:y val="0.1438908410064377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fld id="{2F8DA7FF-ABD7-4FA7-B863-652F91150022}" type="CATEGORYNAM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[NOMBRE DE CATEGORÍA]</a:t>
                </a:fld>
                <a:r>
                  <a:rPr lang="en-US"/>
                  <a:t> </a:t>
                </a:r>
                <a:fld id="{519B891E-B037-45A5-BF81-0A83DF0D4C59}" type="VALU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br>
                  <a:rPr lang="en-US"/>
                </a:br>
                <a:r>
                  <a:rPr lang="en-US"/>
                  <a:t> </a:t>
                </a:r>
                <a:fld id="{BF60E99D-C6FA-463B-9CD5-740B1149B1C0}" type="PERCENTAGE">
                  <a:rPr lang="en-US"/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t>[PORCENTAJE]</a:t>
                </a:fld>
                <a:endParaRPr lang="en-US"/>
              </a:p>
            </c:rich>
          </c:tx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32456550268173001"/>
              <c:y val="-5.2271153402241657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562810796191459E-2"/>
              <c:y val="-0.12262398796241666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3381205066757957"/>
                  <c:h val="0.11904451682953311"/>
                </c:manualLayout>
              </c15:layout>
            </c:ext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5997090037658342E-2"/>
              <c:y val="0.17499602451973634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32456550268173001"/>
              <c:y val="-5.2271153402241657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562810796191459E-2"/>
              <c:y val="-0.12262398796241666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3381205066757957"/>
                  <c:h val="0.11904451682953311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5997090037658342E-2"/>
              <c:y val="0.17499602451973634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32456550268173001"/>
              <c:y val="-5.2271153402241657E-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562810796191459E-2"/>
              <c:y val="-0.12262398796241666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3381205066757957"/>
                  <c:h val="0.11904451682953311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9.5997090037658342E-2"/>
              <c:y val="0.17499602451973634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21839851985714906"/>
              <c:y val="-0.10946164302752058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562810796191459E-2"/>
              <c:y val="-1.838946027512033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3381205066757957"/>
                  <c:h val="0.11904451682953311"/>
                </c:manualLayout>
              </c15:layout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0848734072175405"/>
              <c:y val="0.1749960245197363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5772372715705618"/>
              <c:y val="0.16474595398702199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4.6759974675296738E-2"/>
              <c:y val="-0.3967281369959049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>
              <c15:layout>
                <c:manualLayout>
                  <c:w val="0.27946744361872794"/>
                  <c:h val="0.17550488599348532"/>
                </c:manualLayout>
              </c15:layout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20202253406848739"/>
              <c:y val="0.4011367308728102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7.1342147805294825E-2"/>
              <c:y val="0.16873340343857668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2.0951889210569993E-2"/>
              <c:y val="7.0910598715877043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bestFit"/>
          <c:showLegendKey val="1"/>
          <c:showVal val="1"/>
          <c:showCatName val="1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7703442807353997E-2"/>
          <c:y val="0.13984183573144562"/>
          <c:w val="0.61800807685924508"/>
          <c:h val="0.82541332170612225"/>
        </c:manualLayout>
      </c:layout>
      <c:pieChart>
        <c:varyColors val="1"/>
        <c:ser>
          <c:idx val="0"/>
          <c:order val="0"/>
          <c:tx>
            <c:strRef>
              <c:f>Panel!$B$6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9F0E-4D0B-BE23-29AD42AEA0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9F0E-4D0B-BE23-29AD42AEA0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9F0E-4D0B-BE23-29AD42AEA0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569-4C8F-8488-9BF929E91619}"/>
              </c:ext>
            </c:extLst>
          </c:dPt>
          <c:dLbls>
            <c:dLbl>
              <c:idx val="0"/>
              <c:layout>
                <c:manualLayout>
                  <c:x val="-4.6759974675296738E-2"/>
                  <c:y val="-0.39672813699590492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L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27946744361872794"/>
                      <c:h val="0.1755048859934853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D-9F0E-4D0B-BE23-29AD42AEA0D1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1"/>
            <c:showVal val="1"/>
            <c:showCatName val="1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Panel!$A$7:$A$8</c:f>
              <c:strCache>
                <c:ptCount val="1"/>
                <c:pt idx="0">
                  <c:v>Cerrado</c:v>
                </c:pt>
              </c:strCache>
            </c:strRef>
          </c:cat>
          <c:val>
            <c:numRef>
              <c:f>Panel!$B$7:$B$8</c:f>
              <c:numCache>
                <c:formatCode>General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9F0E-4D0B-BE23-29AD42AEA0D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564846991891387"/>
          <c:y val="0.38937067719955198"/>
          <c:w val="0.18239416794212199"/>
          <c:h val="0.2829745141792128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[Riegos FINAL.xlsx]Panel!TablaDinámica4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noFill/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ysClr val="windowText" lastClr="000000"/>
                </a:solidFill>
              </a:rPr>
              <a:t>Riesgos por tipo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noFill/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effectLst>
                      <a:outerShdw blurRad="50800" dist="50800" dir="5400000" algn="ctr" rotWithShape="0">
                        <a:schemeClr val="bg1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C64D4FDA-0521-48E9-800E-67086873BAD9}" type="VALUE">
                  <a:rPr lang="en-US" sz="1000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effectLst>
                        <a:outerShdw blurRad="50800" dist="50800" dir="5400000" algn="ctr" rotWithShape="0">
                          <a:schemeClr val="bg1"/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CL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effectLst>
                      <a:outerShdw blurRad="50800" dist="50800" dir="5400000" algn="ctr" rotWithShape="0">
                        <a:schemeClr val="bg1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C64D4FDA-0521-48E9-800E-67086873BAD9}" type="VALUE">
                  <a:rPr lang="en-US" sz="1000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effectLst>
                        <a:outerShdw blurRad="50800" dist="50800" dir="5400000" algn="ctr" rotWithShape="0">
                          <a:schemeClr val="bg1"/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CL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7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effectLst>
                      <a:outerShdw blurRad="50800" dist="50800" dir="5400000" algn="ctr" rotWithShape="0">
                        <a:schemeClr val="bg1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C64D4FDA-0521-48E9-800E-67086873BAD9}" type="VALUE">
                  <a:rPr lang="en-US" sz="1000">
                    <a:solidFill>
                      <a:sysClr val="windowText" lastClr="000000"/>
                    </a:solidFill>
                  </a:rPr>
                  <a:pPr>
                    <a:defRPr sz="900" b="0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effectLst>
                        <a:outerShdw blurRad="50800" dist="50800" dir="5400000" algn="ctr" rotWithShape="0">
                          <a:schemeClr val="bg1"/>
                        </a:outerShdw>
                      </a:effectLst>
                      <a:latin typeface="+mn-lt"/>
                      <a:ea typeface="+mn-ea"/>
                      <a:cs typeface="+mn-cs"/>
                    </a:defRPr>
                  </a:pPr>
                  <a:t>[VALOR]</a:t>
                </a:fld>
                <a:endParaRPr lang="es-CL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9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chemeClr val="accent4">
                <a:lumMod val="60000"/>
                <a:lumOff val="40000"/>
                <a:alpha val="35000"/>
              </a:scheme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5">
                  <a:shade val="51000"/>
                  <a:satMod val="130000"/>
                </a:schemeClr>
              </a:gs>
              <a:gs pos="80000">
                <a:schemeClr val="accent5">
                  <a:shade val="93000"/>
                  <a:satMod val="130000"/>
                </a:schemeClr>
              </a:gs>
              <a:gs pos="100000">
                <a:schemeClr val="accent5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chemeClr val="accent4">
                <a:lumMod val="60000"/>
                <a:lumOff val="40000"/>
                <a:alpha val="35000"/>
              </a:scheme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effectLst>
                      <a:outerShdw blurRad="50800" dist="50800" dir="5400000" algn="ctr" rotWithShape="0">
                        <a:schemeClr val="bg1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fld id="{C64D4FDA-0521-48E9-800E-67086873BAD9}" type="VALUE">
                  <a:rPr lang="en-US" sz="1000">
                    <a:solidFill>
                      <a:sysClr val="windowText" lastClr="000000"/>
                    </a:solidFill>
                  </a:rPr>
                  <a:pPr>
                    <a:defRPr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effectLst>
                        <a:outerShdw blurRad="50800" dist="50800" dir="5400000" algn="ctr" rotWithShape="0">
                          <a:schemeClr val="bg1"/>
                        </a:outerShdw>
                      </a:effectLst>
                    </a:defRPr>
                  </a:pPr>
                  <a:t>[VALOR]</a:t>
                </a:fld>
                <a:endParaRPr lang="es-CL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effectLst>
                    <a:outerShdw blurRad="50800" dist="50800" dir="5400000" algn="ctr" rotWithShape="0">
                      <a:schemeClr val="bg1"/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6.9484006806841456E-2"/>
          <c:y val="0.18428483908484078"/>
          <c:w val="0.89949525540076725"/>
          <c:h val="0.735634728827213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Panel!$B$26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chemeClr val="accent4">
                  <a:lumMod val="60000"/>
                  <a:lumOff val="40000"/>
                  <a:alpha val="35000"/>
                </a:scheme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chemeClr val="accent4">
                    <a:lumMod val="60000"/>
                    <a:lumOff val="40000"/>
                    <a:alpha val="35000"/>
                  </a:scheme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69-A843-4F9A-B698-4175D0CDB51B}"/>
              </c:ext>
            </c:extLst>
          </c:dPt>
          <c:dLbls>
            <c:dLbl>
              <c:idx val="3"/>
              <c:tx>
                <c:rich>
                  <a:bodyPr/>
                  <a:lstStyle/>
                  <a:p>
                    <a:fld id="{C64D4FDA-0521-48E9-800E-67086873BAD9}" type="VALUE">
                      <a:rPr lang="en-US" sz="1000">
                        <a:solidFill>
                          <a:sysClr val="windowText" lastClr="000000"/>
                        </a:solidFill>
                      </a:rPr>
                      <a:pPr/>
                      <a:t>[VALOR]</a:t>
                    </a:fld>
                    <a:endParaRPr lang="es-CL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69-A843-4F9A-B698-4175D0CDB5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effectLst>
                      <a:outerShdw blurRad="50800" dist="50800" dir="5400000" algn="ctr" rotWithShape="0">
                        <a:schemeClr val="bg1"/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Panel!$A$27:$A$32</c:f>
              <c:strCache>
                <c:ptCount val="5"/>
                <c:pt idx="0">
                  <c:v>Económico</c:v>
                </c:pt>
                <c:pt idx="1">
                  <c:v>Externo</c:v>
                </c:pt>
                <c:pt idx="2">
                  <c:v>Gestión</c:v>
                </c:pt>
                <c:pt idx="3">
                  <c:v>Técnico</c:v>
                </c:pt>
                <c:pt idx="4">
                  <c:v>QA</c:v>
                </c:pt>
              </c:strCache>
            </c:strRef>
          </c:cat>
          <c:val>
            <c:numRef>
              <c:f>Panel!$B$27:$B$32</c:f>
              <c:numCache>
                <c:formatCode>General</c:formatCode>
                <c:ptCount val="5"/>
                <c:pt idx="0">
                  <c:v>3</c:v>
                </c:pt>
                <c:pt idx="1">
                  <c:v>2</c:v>
                </c:pt>
                <c:pt idx="2">
                  <c:v>12</c:v>
                </c:pt>
                <c:pt idx="3">
                  <c:v>14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A843-4F9A-B698-4175D0CDB5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10580799"/>
        <c:axId val="1610581215"/>
      </c:barChart>
      <c:catAx>
        <c:axId val="161058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10581215"/>
        <c:crosses val="autoZero"/>
        <c:auto val="1"/>
        <c:lblAlgn val="ctr"/>
        <c:lblOffset val="100"/>
        <c:noMultiLvlLbl val="0"/>
      </c:catAx>
      <c:valAx>
        <c:axId val="161058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1058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>
        <a:lumMod val="85000"/>
      </a:schemeClr>
    </a:solidFill>
    <a:ln>
      <a:solidFill>
        <a:schemeClr val="accent6">
          <a:lumMod val="60000"/>
          <a:lumOff val="40000"/>
        </a:schemeClr>
      </a:solidFill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85723</xdr:rowOff>
    </xdr:from>
    <xdr:to>
      <xdr:col>0</xdr:col>
      <xdr:colOff>0</xdr:colOff>
      <xdr:row>16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1351AB-3655-46AD-B59D-33BA11B40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28574</xdr:colOff>
      <xdr:row>1</xdr:row>
      <xdr:rowOff>114300</xdr:rowOff>
    </xdr:from>
    <xdr:to>
      <xdr:col>8</xdr:col>
      <xdr:colOff>628649</xdr:colOff>
      <xdr:row>19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20C0E33-68F9-4887-ADD1-85BD5FDDA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390524</xdr:colOff>
      <xdr:row>23</xdr:row>
      <xdr:rowOff>9524</xdr:rowOff>
    </xdr:from>
    <xdr:to>
      <xdr:col>8</xdr:col>
      <xdr:colOff>742949</xdr:colOff>
      <xdr:row>40</xdr:row>
      <xdr:rowOff>142874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7E6031A-DDC7-44F3-BE9C-19CC14B25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0.52211</cdr:x>
      <cdr:y>0.23609</cdr:y>
    </cdr:from>
    <cdr:to>
      <cdr:x>0.99183</cdr:x>
      <cdr:y>0.36995</cdr:y>
    </cdr:to>
    <cdr:sp macro="" textlink="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878BE4E5-8053-45D3-BB30-EFC64C581248}"/>
            </a:ext>
          </a:extLst>
        </cdr:cNvPr>
        <cdr:cNvSpPr txBox="1"/>
      </cdr:nvSpPr>
      <cdr:spPr>
        <a:xfrm xmlns:a="http://schemas.openxmlformats.org/drawingml/2006/main">
          <a:off x="1825112" y="573440"/>
          <a:ext cx="1641989" cy="3251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CL" sz="1200"/>
            <a:t>Total</a:t>
          </a:r>
          <a:r>
            <a:rPr lang="es-CL" sz="1200" baseline="0"/>
            <a:t> de riesgos : 20</a:t>
          </a:r>
          <a:endParaRPr lang="es-CL" sz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0.58072</cdr:x>
      <cdr:y>0.23482</cdr:y>
    </cdr:from>
    <cdr:to>
      <cdr:x>1</cdr:x>
      <cdr:y>0.35717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8377271D-82B6-4951-B09B-C286B67E18B0}"/>
            </a:ext>
          </a:extLst>
        </cdr:cNvPr>
        <cdr:cNvSpPr txBox="1"/>
      </cdr:nvSpPr>
      <cdr:spPr>
        <a:xfrm xmlns:a="http://schemas.openxmlformats.org/drawingml/2006/main">
          <a:off x="1980226" y="686665"/>
          <a:ext cx="1429724" cy="3577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L" sz="1200"/>
            <a:t>Total</a:t>
          </a:r>
          <a:r>
            <a:rPr lang="es-CL" sz="1200" baseline="0"/>
            <a:t> de riesgos : 36</a:t>
          </a:r>
          <a:endParaRPr lang="es-CL" sz="1200"/>
        </a:p>
      </cdr:txBody>
    </cdr:sp>
  </cdr:relSizeAnchor>
  <cdr:relSizeAnchor xmlns:cdr="http://schemas.openxmlformats.org/drawingml/2006/chartDrawing">
    <cdr:from>
      <cdr:x>0.58072</cdr:x>
      <cdr:y>0.23482</cdr:y>
    </cdr:from>
    <cdr:to>
      <cdr:x>1</cdr:x>
      <cdr:y>0.35717</cdr:y>
    </cdr:to>
    <cdr:sp macro="" textlink="">
      <cdr:nvSpPr>
        <cdr:cNvPr id="7" name="CuadroTexto 1">
          <a:extLst xmlns:a="http://schemas.openxmlformats.org/drawingml/2006/main">
            <a:ext uri="{FF2B5EF4-FFF2-40B4-BE49-F238E27FC236}">
              <a16:creationId xmlns:a16="http://schemas.microsoft.com/office/drawing/2014/main" id="{8377271D-82B6-4951-B09B-C286B67E18B0}"/>
            </a:ext>
          </a:extLst>
        </cdr:cNvPr>
        <cdr:cNvSpPr txBox="1"/>
      </cdr:nvSpPr>
      <cdr:spPr>
        <a:xfrm xmlns:a="http://schemas.openxmlformats.org/drawingml/2006/main">
          <a:off x="1980226" y="686665"/>
          <a:ext cx="1429724" cy="3577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CL" sz="1200"/>
            <a:t>Total</a:t>
          </a:r>
          <a:r>
            <a:rPr lang="es-CL" sz="1200" baseline="0"/>
            <a:t> de riesgos : </a:t>
          </a:r>
          <a:endParaRPr lang="es-CL" sz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yland Martinez" refreshedDate="45980.845374537035" createdVersion="7" refreshedVersion="7" minRefreshableVersion="3" recordCount="37" xr:uid="{9D94897F-87B4-47C6-842D-951F34D3360F}">
  <cacheSource type="worksheet">
    <worksheetSource ref="A1:M1048576" sheet="Tabla de riesgos"/>
  </cacheSource>
  <cacheFields count="13">
    <cacheField name="ID" numFmtId="0">
      <sharedItems containsBlank="1"/>
    </cacheField>
    <cacheField name="Descripción" numFmtId="0">
      <sharedItems containsBlank="1"/>
    </cacheField>
    <cacheField name="Tipo" numFmtId="0">
      <sharedItems containsBlank="1" count="7">
        <s v="Técnico"/>
        <s v="Gestión"/>
        <s v="Económico"/>
        <s v="Externo"/>
        <s v="QA"/>
        <m/>
        <s v="Gestión " u="1"/>
      </sharedItems>
    </cacheField>
    <cacheField name="Probabilidad" numFmtId="0">
      <sharedItems containsBlank="1"/>
    </cacheField>
    <cacheField name="Valor de Probabilidad" numFmtId="0">
      <sharedItems containsString="0" containsBlank="1" containsNumber="1" containsInteger="1" minValue="1" maxValue="3"/>
    </cacheField>
    <cacheField name=" impacto" numFmtId="0">
      <sharedItems containsBlank="1"/>
    </cacheField>
    <cacheField name="Valor de Impacto" numFmtId="0">
      <sharedItems containsString="0" containsBlank="1" containsNumber="1" containsInteger="1" minValue="1" maxValue="3"/>
    </cacheField>
    <cacheField name="Magnitud (PxI)" numFmtId="0">
      <sharedItems containsString="0" containsBlank="1" containsNumber="1" containsInteger="1" minValue="2" maxValue="9"/>
    </cacheField>
    <cacheField name="Responsable" numFmtId="0">
      <sharedItems containsBlank="1"/>
    </cacheField>
    <cacheField name="Plan de mitigacion" numFmtId="0">
      <sharedItems containsBlank="1"/>
    </cacheField>
    <cacheField name="Estado" numFmtId="0">
      <sharedItems containsBlank="1" count="6">
        <s v="Cerrado"/>
        <m/>
        <s v="Inactivo" u="1"/>
        <s v="Controlado" u="1"/>
        <s v="Aceptado" u="1"/>
        <s v="Activo" u="1"/>
      </sharedItems>
    </cacheField>
    <cacheField name="Observaciones" numFmtId="0">
      <sharedItems containsBlank="1"/>
    </cacheField>
    <cacheField name="Fecha" numFmtId="0">
      <sharedItems containsNonDate="0" containsDate="1" containsString="0" containsBlank="1" minDate="2025-10-11T00:00:00" maxDate="2025-10-1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R1"/>
    <s v="Caídas o limitaciones en la API de alimentos"/>
    <x v="0"/>
    <s v="Alta"/>
    <n v="3"/>
    <s v="Alta"/>
    <n v="3"/>
    <n v="9"/>
    <s v="Fernanda Barra (DEV)"/>
    <s v="Monitorear endpoints y constante monitoreo de la API y sus limitaciones dentro del proyecto"/>
    <x v="0"/>
    <s v="Seguimiento semanal"/>
    <d v="2025-10-11T00:00:00"/>
  </r>
  <r>
    <s v="R2"/>
    <s v="Problemas de inconsitencia en entrega de documentacion final"/>
    <x v="0"/>
    <s v="Media"/>
    <n v="2"/>
    <s v="Media"/>
    <n v="2"/>
    <n v="4"/>
    <s v="Fernanda Barra (DEV)"/>
    <s v="Se mantiene la base de la documentacion anterior respaldada y se agregan pequeñas modificaciones dentro del proyecto"/>
    <x v="0"/>
    <m/>
    <m/>
  </r>
  <r>
    <s v="R3"/>
    <s v="Errores críticos no detectados en QA"/>
    <x v="0"/>
    <s v="Alta"/>
    <n v="2"/>
    <s v="Alta"/>
    <n v="3"/>
    <n v="6"/>
    <s v="Polet Adasme (QA)"/>
    <m/>
    <x v="0"/>
    <m/>
    <m/>
  </r>
  <r>
    <s v="R4"/>
    <s v="Sobrecarga del desarrollador como único recurso técnico principal"/>
    <x v="1"/>
    <s v="Alta"/>
    <n v="3"/>
    <s v="Alta"/>
    <n v="3"/>
    <n v="9"/>
    <s v="Dyland Martinez (PM)"/>
    <s v="Reasignar tareas, ajustes de Backlog y ayuda en la documentacion del desarrollador por parte del equipo"/>
    <x v="0"/>
    <s v="Seguimiento semanal"/>
    <d v="2025-10-11T00:00:00"/>
  </r>
  <r>
    <s v="R5"/>
    <s v="Descoordinación entre integrantes por falta de comunicación"/>
    <x v="1"/>
    <s v="Media"/>
    <n v="2"/>
    <s v="Media"/>
    <n v="2"/>
    <n v="4"/>
    <s v="Dyland Martinez (PM)"/>
    <s v="Creacion de JIRA para asignacion de tareas y canal de mensajeria en WSP"/>
    <x v="0"/>
    <m/>
    <m/>
  </r>
  <r>
    <s v="R6"/>
    <s v="Cambios de alcance en el proyecto"/>
    <x v="1"/>
    <s v="Alta"/>
    <n v="1"/>
    <s v="Baja"/>
    <n v="3"/>
    <n v="3"/>
    <s v="Dyland Martinez (PM)"/>
    <s v="Alcance cerrado en acta final"/>
    <x v="0"/>
    <m/>
    <m/>
  </r>
  <r>
    <s v="R7"/>
    <s v="Incumplimiento de fechas de entrega en tareas individuales"/>
    <x v="1"/>
    <s v="Media"/>
    <n v="2"/>
    <s v="Media"/>
    <n v="2"/>
    <n v="4"/>
    <s v="Dyland Martinez (PM)"/>
    <s v="Reuniones diarias y registro de acuerdos, entrega de minutas y compromisos"/>
    <x v="0"/>
    <s v="Seguimiento semanal"/>
    <d v="2025-10-11T00:00:00"/>
  </r>
  <r>
    <s v="R8"/>
    <s v="Gastos no previstos en infraestructura tecnológica"/>
    <x v="2"/>
    <s v="Media"/>
    <n v="1"/>
    <s v="Baja"/>
    <n v="2"/>
    <n v="2"/>
    <s v="Dyland Martinez (PM)"/>
    <s v="Monitoreo de uso de servicios gratuitos , actualizacion de esfuerzo en planilla de presupuesto "/>
    <x v="0"/>
    <m/>
    <m/>
  </r>
  <r>
    <s v="R9"/>
    <s v="Incremento en costos de publicación (Google Play / App Store)"/>
    <x v="2"/>
    <s v="Media"/>
    <n v="2"/>
    <s v="Media"/>
    <n v="2"/>
    <n v="4"/>
    <s v="Dyland Martinez (PM)"/>
    <s v="Planificar costos de despliegue con anticipación"/>
    <x v="0"/>
    <m/>
    <m/>
  </r>
  <r>
    <s v="R10"/>
    <s v="Extensión del tiempo del proyecto"/>
    <x v="2"/>
    <s v="Alta"/>
    <n v="2"/>
    <s v="Alta"/>
    <n v="3"/>
    <n v="6"/>
    <s v="Dyland Martinez"/>
    <s v="Ajuste del cronograma global"/>
    <x v="0"/>
    <m/>
    <m/>
  </r>
  <r>
    <s v="R11"/>
    <s v="Problemas de conexión con API CRUD desde WEB y MOBILE"/>
    <x v="3"/>
    <s v="Alta"/>
    <n v="3"/>
    <s v="Alta"/>
    <n v="3"/>
    <n v="9"/>
    <s v="Fernanda Barra (DEV)"/>
    <s v="Verificar las rutas y métodos de la API antes de integrarla en cada cliente (web y mobile). Se definen variables claras y se definen metodos a usar"/>
    <x v="0"/>
    <m/>
    <d v="2025-10-11T00:00:00"/>
  </r>
  <r>
    <s v="R12"/>
    <s v="Cambios en políticas de publicación de Google Play Store"/>
    <x v="3"/>
    <s v="Media"/>
    <n v="1"/>
    <s v="Baja"/>
    <n v="2"/>
    <n v="2"/>
    <s v="Dyland Martinez (PM)"/>
    <s v="Se define capital dentro del proyecto extra para costos no mapeados"/>
    <x v="0"/>
    <m/>
    <m/>
  </r>
  <r>
    <s v="R13"/>
    <s v="Endpoints sin validación de datos (ej: registros vacíos)"/>
    <x v="0"/>
    <s v="Alta"/>
    <n v="3"/>
    <s v="Alta"/>
    <n v="3"/>
    <n v="9"/>
    <s v="Fernanda Barra (DEV)"/>
    <s v="Implementar validaciones básicas en el backend para evitar registros vacíos o datos nulos."/>
    <x v="0"/>
    <m/>
    <d v="2025-10-11T00:00:00"/>
  </r>
  <r>
    <s v="R14"/>
    <s v="Pruebas de integración insuficientes (API–App Mobile–Web)"/>
    <x v="0"/>
    <s v="Alta"/>
    <n v="3"/>
    <s v="Alta"/>
    <n v="3"/>
    <n v="9"/>
    <s v="Polet Adasme (QA)"/>
    <s v="Se realizan pruebas dentro del Desarrollo de los productros y dentro del QA"/>
    <x v="0"/>
    <m/>
    <m/>
  </r>
  <r>
    <s v="R15"/>
    <s v="Desalineación entre diseño prototipado (Figma / mockups) y el producto final"/>
    <x v="1"/>
    <s v="Media"/>
    <n v="2"/>
    <s v="Media"/>
    <n v="2"/>
    <n v="4"/>
    <s v="Fernanda Barra (DEV)"/>
    <s v="Se realiza feedBack de avance con mockups definido en el proyecto entre el desarrollador y el equipo"/>
    <x v="0"/>
    <s v="Seguimiento semanal"/>
    <d v="2025-10-11T00:00:00"/>
  </r>
  <r>
    <s v="R16"/>
    <s v="Falta de tiempo para pruebas de usuario o validación con feedback real"/>
    <x v="0"/>
    <s v="Alta"/>
    <n v="3"/>
    <s v="Alta"/>
    <n v="3"/>
    <n v="9"/>
    <s v="Polet Adasme (QA)"/>
    <s v="Se divide la entrega a los usuarios por parte del equipo (20 encuestas por integrante del grupo)"/>
    <x v="0"/>
    <m/>
    <m/>
  </r>
  <r>
    <s v="R17"/>
    <s v="Pérdida o corrupción de archivos del proyecto (repositorio, BD, etc.)"/>
    <x v="0"/>
    <s v="Media"/>
    <n v="2"/>
    <s v="Alta"/>
    <n v="3"/>
    <n v="6"/>
    <s v="Fernanda Barra (DEV)"/>
    <s v="Se sube los avances del desarrollo dentro de GITHUB para tener respaldo de informacion y avances"/>
    <x v="0"/>
    <s v="Seguimiento semanal"/>
    <d v="2025-10-11T00:00:00"/>
  </r>
  <r>
    <s v="R18"/>
    <s v="Errores menores de accesibilidad o legibilidad (colores, fuentes, iconos)"/>
    <x v="0"/>
    <s v="Media"/>
    <n v="2"/>
    <s v="Baja"/>
    <n v="1"/>
    <n v="2"/>
    <s v="Dyland Martinez (PM)"/>
    <s v="Se define colores y accesibilidad dentro de Proyect Manager y se valida con el equipo el lineamiento a seguir"/>
    <x v="0"/>
    <m/>
    <m/>
  </r>
  <r>
    <s v="R19"/>
    <s v="No cumplir con todos los entregables documentales exigidos (PPT, informe, anexos)"/>
    <x v="1"/>
    <s v="Media"/>
    <n v="2"/>
    <s v="Alta"/>
    <n v="3"/>
    <n v="6"/>
    <s v="Dyland Martinez (PM)"/>
    <s v="Se realiza reuniones diarias y se planifica presentacion final dias antes de la clase"/>
    <x v="0"/>
    <s v="Seguimiento semanal"/>
    <m/>
  </r>
  <r>
    <s v="R20"/>
    <s v="Configuración incorrecta del entorno de desarrollo web"/>
    <x v="0"/>
    <s v="Media"/>
    <n v="2"/>
    <s v="Alta"/>
    <n v="3"/>
    <n v="6"/>
    <s v="Fernanda Barra (DEV)"/>
    <s v="Se realiza la configuracion en base a lo diseñado en lo mobile y se planifica respecto al desarrollo de la API CRUD"/>
    <x v="0"/>
    <m/>
    <d v="2025-10-11T00:00:00"/>
  </r>
  <r>
    <s v="R21"/>
    <s v="Falta de validación diferenciada entre usuarios Web y Mobile"/>
    <x v="0"/>
    <s v="Media"/>
    <n v="2"/>
    <s v="Alta"/>
    <n v="2"/>
    <n v="4"/>
    <s v="Fernanda Barra (DEV)"/>
    <s v="Definir lógica de autenticación por canal antes de integrar API."/>
    <x v="0"/>
    <m/>
    <m/>
  </r>
  <r>
    <s v="R22"/>
    <s v="Falta de implementación completa del CRUD de roles y entidades"/>
    <x v="0"/>
    <s v="Media"/>
    <n v="3"/>
    <s v="Media"/>
    <n v="3"/>
    <n v="9"/>
    <s v="Fernanda Barra (DEV)"/>
    <s v="Dividir desarrollo en módulos y validar CRUD antes de integración."/>
    <x v="0"/>
    <m/>
    <m/>
  </r>
  <r>
    <s v="R23"/>
    <s v="Retraso en generación o implementación de tokens de seguridad"/>
    <x v="0"/>
    <s v="Alta"/>
    <n v="2"/>
    <s v="Alta"/>
    <n v="3"/>
    <n v="6"/>
    <s v="Fernanda Barra (DEV)"/>
    <s v="Revisar dependencias y crear tokens genéricos reutilizables."/>
    <x v="0"/>
    <m/>
    <m/>
  </r>
  <r>
    <s v="R24"/>
    <s v="Fallos funcionales en módulo “Registrar Comida” durante QA Mobile"/>
    <x v="4"/>
    <s v="Alta"/>
    <n v="3"/>
    <s v="Alta"/>
    <n v="3"/>
    <n v="9"/>
    <s v="Polet Adasme (QA)"/>
    <s v="Se realizan las configuraciones correspondientes y se realizan las pruebas antes del QA"/>
    <x v="0"/>
    <m/>
    <m/>
  </r>
  <r>
    <s v="R25"/>
    <s v="Fallos en módulo “Registrar Actividad Física” durante QA Mobile"/>
    <x v="4"/>
    <s v="Alta"/>
    <n v="3"/>
    <s v="Alta"/>
    <n v="3"/>
    <n v="9"/>
    <s v="Polet Adasme (QA)"/>
    <s v="Se realizan las configuraciones correspondientes y se realizan las pruebas antes del QA"/>
    <x v="0"/>
    <m/>
    <m/>
  </r>
  <r>
    <s v="R26"/>
    <s v="Retraso del QA por dependencia de corrección de errores Mobile"/>
    <x v="0"/>
    <s v="Media"/>
    <n v="2"/>
    <s v="Alta"/>
    <n v="3"/>
    <n v="6"/>
    <s v="Polet Adasme (QA)"/>
    <s v="Se aplican esfuerzos extras del equipo para sumar gente dentro del QA "/>
    <x v="0"/>
    <m/>
    <m/>
  </r>
  <r>
    <s v="R27"/>
    <s v="Riesgo de duplicar esfuerzo QA al revalidar módulos corregidos"/>
    <x v="1"/>
    <s v="Media"/>
    <n v="2"/>
    <s v="Media"/>
    <n v="2"/>
    <n v="4"/>
    <s v="Dyland Martinez (PM)"/>
    <s v="Se realiza un pre QA en la etapa de desarrollo para evitar nuevos defectos invalidantes"/>
    <x v="0"/>
    <m/>
    <m/>
  </r>
  <r>
    <s v="R28"/>
    <s v="Retraso parcial en QA Mobile por correcciones"/>
    <x v="1"/>
    <s v="Media"/>
    <n v="2"/>
    <s v="Alta"/>
    <n v="3"/>
    <n v="6"/>
    <s v="Dyland Martinez (PM)"/>
    <s v="Ajuste en cronograma y reordenamiento de QA Web, se duplican esfuerzos en solucion de defectos"/>
    <x v="0"/>
    <m/>
    <m/>
  </r>
  <r>
    <s v="R29"/>
    <s v="Extensión del tiempo del proyecto"/>
    <x v="1"/>
    <s v="Alta"/>
    <n v="3"/>
    <s v="Alta"/>
    <n v="3"/>
    <n v="9"/>
    <s v="Dyland Martinez (PM)"/>
    <s v="Se realiza el ajuste de carta gannt con distribución de tareas para no afectar la entrega del proyecto"/>
    <x v="0"/>
    <m/>
    <m/>
  </r>
  <r>
    <s v="R30"/>
    <s v="Duplicación de esfuerzo en QA (revalidar módulos corregidos)(pruebas de regresion)"/>
    <x v="4"/>
    <s v="Media"/>
    <n v="2"/>
    <s v="Media"/>
    <n v="2"/>
    <n v="4"/>
    <s v="Dyland Martinez (PM)"/>
    <s v="PM se involura en pruebas de regresion para liberacion de carga del equipo "/>
    <x v="0"/>
    <m/>
    <m/>
  </r>
  <r>
    <s v="R31"/>
    <s v="Aumento de carga en QA Web por retraso del desarrollo"/>
    <x v="4"/>
    <s v="Media"/>
    <n v="2"/>
    <s v="Alta"/>
    <n v="3"/>
    <n v="6"/>
    <s v="Dyland Martinez (PM)"/>
    <s v="Se realiza un pre QA en la etapa de desarrollo para evitar nuevos defectos invalidantes"/>
    <x v="0"/>
    <m/>
    <m/>
  </r>
  <r>
    <s v="R32"/>
    <s v="Cambios en fechas y tareas dentro de JIRA para seguimiento del proyecto"/>
    <x v="1"/>
    <s v="Media"/>
    <n v="2"/>
    <s v="Alta"/>
    <n v="3"/>
    <n v="6"/>
    <s v="Dyland Martinez (PM)"/>
    <s v="Se ajustan los esfuerzos del equipo y se realiza reunion para nueva estimacion de tareas atrasadas"/>
    <x v="0"/>
    <s v="Se documentan las modificaciones realizadas, se actualiza el backlog, se estiman las tareas de junto con el equipo completo "/>
    <m/>
  </r>
  <r>
    <s v="R33"/>
    <s v="Retraso en la finalización del mantenedor web (último módulo pendiente)"/>
    <x v="1"/>
    <s v="Media"/>
    <n v="2"/>
    <s v="Alta"/>
    <n v="3"/>
    <n v="6"/>
    <s v="Fernanda Barra (DEV)"/>
    <s v="Se prioriza el desarrollo del mantenedor y se reducen tareas no críticas. QA Web revisa en paralelo el resto de vistas"/>
    <x v="0"/>
    <m/>
    <m/>
  </r>
  <r>
    <s v="R34"/>
    <s v="Errores menores de integración entre módulo web y API"/>
    <x v="0"/>
    <s v="Baja"/>
    <n v="1"/>
    <s v="Alta"/>
    <n v="3"/>
    <n v="3"/>
    <s v="Fernanda Barra (DEV)"/>
    <s v="QA realiza pruebas de regresión rápidas al conectar mantenedor con API."/>
    <x v="0"/>
    <m/>
    <m/>
  </r>
  <r>
    <s v="R35"/>
    <s v="Riesgo de sobrecarga de QA por validación simultánea Mobile/Web"/>
    <x v="4"/>
    <s v="Media"/>
    <n v="2"/>
    <s v="Alta"/>
    <n v="3"/>
    <n v="6"/>
    <s v="Polet Adasme (QA)"/>
    <s v="Se redistribuyen casos de prueba entre QA Mobile y QA Web. Se asigna PM para apoyo en pruebas"/>
    <x v="0"/>
    <m/>
    <m/>
  </r>
  <r>
    <s v="R36"/>
    <s v="Falta de tiempo para revisión final de documentación técnica (ReadMe / Reportes)"/>
    <x v="1"/>
    <s v="Media"/>
    <n v="2"/>
    <s v="Media"/>
    <n v="2"/>
    <n v="4"/>
    <s v="Dyland Martinez (PM)"/>
    <s v="Se Asigna tiempo en paralelo despues de las pruebas para actualizacion de documentacion"/>
    <x v="0"/>
    <m/>
    <m/>
  </r>
  <r>
    <m/>
    <m/>
    <x v="5"/>
    <m/>
    <m/>
    <m/>
    <m/>
    <m/>
    <m/>
    <m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C1FF94-B4C5-4528-8667-6C1ECE244A12}" name="TablaDinámica3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3">
  <location ref="A6:B8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m="1" x="5"/>
        <item x="0"/>
        <item m="1" x="3"/>
        <item m="1" x="2"/>
        <item h="1" x="1"/>
        <item m="1" x="4"/>
        <item t="default"/>
      </items>
    </pivotField>
    <pivotField showAll="0"/>
    <pivotField showAll="0"/>
  </pivotFields>
  <rowFields count="1">
    <field x="10"/>
  </rowFields>
  <rowItems count="2">
    <i>
      <x v="1"/>
    </i>
    <i t="grand">
      <x/>
    </i>
  </rowItems>
  <colItems count="1">
    <i/>
  </colItems>
  <dataFields count="1">
    <dataField name="Cuenta de ID" fld="0" subtotal="count" baseField="0" baseItem="0"/>
  </dataFields>
  <chartFormats count="5"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06039-1DBF-45B3-8354-C116F1C681E3}" name="TablaDinámica4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5">
  <location ref="A26:B32" firstHeaderRow="1" firstDataRow="1" firstDataCol="1"/>
  <pivotFields count="13">
    <pivotField dataField="1" showAll="0"/>
    <pivotField showAll="0"/>
    <pivotField axis="axisRow" showAll="0">
      <items count="8">
        <item x="2"/>
        <item x="3"/>
        <item x="1"/>
        <item x="0"/>
        <item h="1" x="5"/>
        <item x="4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Cuenta de ID" fld="0" subtotal="count" baseField="0" baseItem="0"/>
  </dataFields>
  <chartFormats count="2">
    <chartFormat chart="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0"/>
  <sheetViews>
    <sheetView workbookViewId="0">
      <selection activeCell="G7" sqref="G7:K7"/>
    </sheetView>
  </sheetViews>
  <sheetFormatPr baseColWidth="10" defaultColWidth="11.42578125" defaultRowHeight="13.5" x14ac:dyDescent="0.2"/>
  <cols>
    <col min="1" max="1" width="1.85546875" style="1" customWidth="1"/>
    <col min="2" max="2" width="0.85546875" style="1" customWidth="1"/>
    <col min="3" max="3" width="3.5703125" style="1" customWidth="1"/>
    <col min="4" max="4" width="6.85546875" style="1" bestFit="1" customWidth="1"/>
    <col min="5" max="5" width="5.140625" style="1" customWidth="1"/>
    <col min="6" max="6" width="7.5703125" style="1" customWidth="1"/>
    <col min="7" max="7" width="8.42578125" style="1" customWidth="1"/>
    <col min="8" max="8" width="6.5703125" style="1" customWidth="1"/>
    <col min="9" max="9" width="2.140625" style="1" customWidth="1"/>
    <col min="10" max="10" width="14.140625" style="1" customWidth="1"/>
    <col min="11" max="11" width="13.140625" style="1" customWidth="1"/>
    <col min="12" max="12" width="38" style="1" customWidth="1"/>
    <col min="13" max="14" width="11.42578125" style="1"/>
    <col min="15" max="15" width="37.5703125" style="1" bestFit="1" customWidth="1"/>
    <col min="16" max="16384" width="11.42578125" style="1"/>
  </cols>
  <sheetData>
    <row r="1" spans="2:12" ht="14.25" thickBot="1" x14ac:dyDescent="0.25"/>
    <row r="2" spans="2:12" ht="90" customHeight="1" x14ac:dyDescent="0.2">
      <c r="B2" s="123"/>
      <c r="C2" s="124"/>
      <c r="D2" s="124"/>
      <c r="E2" s="124"/>
      <c r="F2" s="124"/>
      <c r="G2" s="124"/>
      <c r="H2" s="120" t="s">
        <v>29</v>
      </c>
      <c r="I2" s="121"/>
      <c r="J2" s="121"/>
      <c r="K2" s="121"/>
      <c r="L2" s="122"/>
    </row>
    <row r="3" spans="2:12" ht="7.5" customHeight="1" x14ac:dyDescent="0.2"/>
    <row r="4" spans="2:12" ht="7.5" customHeight="1" thickBot="1" x14ac:dyDescent="0.25"/>
    <row r="5" spans="2:12" ht="15" x14ac:dyDescent="0.25">
      <c r="C5" s="129" t="s">
        <v>20</v>
      </c>
      <c r="D5" s="130"/>
      <c r="E5" s="130"/>
      <c r="F5" s="130"/>
      <c r="G5" s="130"/>
      <c r="H5" s="130"/>
      <c r="I5" s="130"/>
      <c r="J5" s="130"/>
      <c r="K5" s="130"/>
      <c r="L5" s="131"/>
    </row>
    <row r="6" spans="2:12" ht="15" x14ac:dyDescent="0.25">
      <c r="C6" s="116" t="s">
        <v>27</v>
      </c>
      <c r="D6" s="112"/>
      <c r="E6" s="112"/>
      <c r="F6" s="112"/>
      <c r="G6" s="132"/>
      <c r="H6" s="133"/>
      <c r="I6" s="133"/>
      <c r="J6" s="27"/>
      <c r="K6" s="27"/>
      <c r="L6" s="28"/>
    </row>
    <row r="7" spans="2:12" ht="26.25" customHeight="1" x14ac:dyDescent="0.25">
      <c r="C7" s="111" t="s">
        <v>21</v>
      </c>
      <c r="D7" s="112"/>
      <c r="E7" s="112"/>
      <c r="F7" s="112"/>
      <c r="G7" s="118" t="s">
        <v>169</v>
      </c>
      <c r="H7" s="114"/>
      <c r="I7" s="114"/>
      <c r="J7" s="114"/>
      <c r="K7" s="114"/>
      <c r="L7" s="22"/>
    </row>
    <row r="8" spans="2:12" ht="15" x14ac:dyDescent="0.25">
      <c r="C8" s="23" t="s">
        <v>30</v>
      </c>
      <c r="D8" s="24"/>
      <c r="E8" s="24"/>
      <c r="F8" s="25"/>
      <c r="G8" s="19"/>
      <c r="H8" s="20"/>
      <c r="I8" s="20"/>
      <c r="J8" s="20"/>
      <c r="K8" s="20"/>
      <c r="L8" s="22"/>
    </row>
    <row r="9" spans="2:12" ht="15" x14ac:dyDescent="0.25">
      <c r="C9" s="29" t="s">
        <v>28</v>
      </c>
      <c r="D9" s="24"/>
      <c r="E9" s="24"/>
      <c r="F9" s="25"/>
      <c r="G9" s="118"/>
      <c r="H9" s="114"/>
      <c r="I9" s="114"/>
      <c r="J9" s="114"/>
      <c r="K9" s="114"/>
      <c r="L9" s="134"/>
    </row>
    <row r="10" spans="2:12" ht="15" x14ac:dyDescent="0.25">
      <c r="C10" s="111" t="s">
        <v>22</v>
      </c>
      <c r="D10" s="112"/>
      <c r="E10" s="112"/>
      <c r="F10" s="112"/>
      <c r="G10" s="113">
        <v>45762</v>
      </c>
      <c r="H10" s="114"/>
      <c r="I10" s="114"/>
      <c r="J10" s="115"/>
      <c r="K10" s="115"/>
      <c r="L10" s="22"/>
    </row>
    <row r="11" spans="2:12" ht="15" x14ac:dyDescent="0.25">
      <c r="C11" s="111" t="s">
        <v>23</v>
      </c>
      <c r="D11" s="112"/>
      <c r="E11" s="112"/>
      <c r="F11" s="112"/>
      <c r="G11" s="113">
        <v>45925</v>
      </c>
      <c r="H11" s="114"/>
      <c r="I11" s="114"/>
      <c r="J11" s="115"/>
      <c r="K11" s="115"/>
      <c r="L11" s="22"/>
    </row>
    <row r="12" spans="2:12" ht="24" customHeight="1" x14ac:dyDescent="0.25">
      <c r="C12" s="116" t="s">
        <v>24</v>
      </c>
      <c r="D12" s="112"/>
      <c r="E12" s="112"/>
      <c r="F12" s="112"/>
      <c r="G12" s="117"/>
      <c r="H12" s="117"/>
      <c r="I12" s="118"/>
      <c r="J12" s="30"/>
      <c r="K12" s="21" t="s">
        <v>25</v>
      </c>
      <c r="L12" s="18" t="s">
        <v>32</v>
      </c>
    </row>
    <row r="13" spans="2:12" ht="15.75" thickBot="1" x14ac:dyDescent="0.3">
      <c r="C13" s="135" t="s">
        <v>26</v>
      </c>
      <c r="D13" s="136"/>
      <c r="E13" s="136"/>
      <c r="F13" s="136"/>
      <c r="G13" s="137"/>
      <c r="H13" s="138"/>
      <c r="I13" s="138"/>
      <c r="J13" s="109" t="s">
        <v>33</v>
      </c>
      <c r="K13" s="110"/>
      <c r="L13" s="26"/>
    </row>
    <row r="14" spans="2:12" ht="7.5" customHeight="1" x14ac:dyDescent="0.2"/>
    <row r="15" spans="2:12" ht="7.5" customHeight="1" x14ac:dyDescent="0.2"/>
    <row r="16" spans="2:12" ht="7.5" customHeight="1" thickBot="1" x14ac:dyDescent="0.25"/>
    <row r="17" spans="2:12" ht="14.25" thickBot="1" x14ac:dyDescent="0.25">
      <c r="B17" s="126" t="s">
        <v>31</v>
      </c>
      <c r="C17" s="127"/>
      <c r="D17" s="127"/>
      <c r="E17" s="127"/>
      <c r="F17" s="127"/>
      <c r="G17" s="127"/>
      <c r="H17" s="127"/>
      <c r="I17" s="127"/>
      <c r="J17" s="127"/>
      <c r="K17" s="127"/>
      <c r="L17" s="128"/>
    </row>
    <row r="18" spans="2:12" x14ac:dyDescent="0.2">
      <c r="B18" s="3"/>
      <c r="L18" s="4"/>
    </row>
    <row r="19" spans="2:12" ht="25.5" x14ac:dyDescent="0.2">
      <c r="B19" s="3"/>
      <c r="C19" s="5"/>
      <c r="D19" s="5"/>
      <c r="E19" s="5"/>
      <c r="F19" s="125" t="s">
        <v>0</v>
      </c>
      <c r="G19" s="125"/>
      <c r="H19" s="125"/>
      <c r="I19" s="5"/>
      <c r="J19" s="31" t="s">
        <v>4</v>
      </c>
      <c r="K19" s="2" t="s">
        <v>5</v>
      </c>
      <c r="L19" s="32" t="s">
        <v>6</v>
      </c>
    </row>
    <row r="20" spans="2:12" x14ac:dyDescent="0.2">
      <c r="B20" s="3"/>
      <c r="C20" s="5"/>
      <c r="D20" s="5"/>
      <c r="E20" s="5"/>
      <c r="F20" s="6" t="s">
        <v>2</v>
      </c>
      <c r="G20" s="6" t="s">
        <v>16</v>
      </c>
      <c r="H20" s="6" t="s">
        <v>1</v>
      </c>
      <c r="I20" s="5"/>
      <c r="J20" s="7" t="s">
        <v>17</v>
      </c>
      <c r="K20" s="7">
        <v>1</v>
      </c>
      <c r="L20" s="33" t="s">
        <v>9</v>
      </c>
    </row>
    <row r="21" spans="2:12" x14ac:dyDescent="0.2">
      <c r="B21" s="3"/>
      <c r="C21" s="5"/>
      <c r="D21" s="5"/>
      <c r="E21" s="5"/>
      <c r="F21" s="6">
        <v>1</v>
      </c>
      <c r="G21" s="6">
        <v>2</v>
      </c>
      <c r="H21" s="6">
        <v>3</v>
      </c>
      <c r="I21" s="5"/>
      <c r="J21" s="8" t="s">
        <v>18</v>
      </c>
      <c r="K21" s="15">
        <v>2</v>
      </c>
      <c r="L21" s="34" t="s">
        <v>8</v>
      </c>
    </row>
    <row r="22" spans="2:12" ht="27" customHeight="1" x14ac:dyDescent="0.2">
      <c r="B22" s="3"/>
      <c r="C22" s="119" t="s">
        <v>3</v>
      </c>
      <c r="D22" s="6" t="s">
        <v>17</v>
      </c>
      <c r="E22" s="6">
        <v>1</v>
      </c>
      <c r="F22" s="7">
        <f>E22*F21</f>
        <v>1</v>
      </c>
      <c r="G22" s="7">
        <f>E22*G21</f>
        <v>2</v>
      </c>
      <c r="H22" s="8">
        <f>E22*H21</f>
        <v>3</v>
      </c>
      <c r="I22" s="5"/>
      <c r="J22" s="16" t="s">
        <v>19</v>
      </c>
      <c r="K22" s="17">
        <v>3</v>
      </c>
      <c r="L22" s="35" t="s">
        <v>7</v>
      </c>
    </row>
    <row r="23" spans="2:12" ht="27" customHeight="1" x14ac:dyDescent="0.2">
      <c r="B23" s="3"/>
      <c r="C23" s="119"/>
      <c r="D23" s="6" t="s">
        <v>18</v>
      </c>
      <c r="E23" s="6">
        <v>2</v>
      </c>
      <c r="F23" s="7">
        <f>E23*F21</f>
        <v>2</v>
      </c>
      <c r="G23" s="8">
        <f>E23*G21</f>
        <v>4</v>
      </c>
      <c r="H23" s="9">
        <f>E23*H21</f>
        <v>6</v>
      </c>
      <c r="I23" s="5"/>
      <c r="J23" s="5"/>
      <c r="K23" s="5"/>
      <c r="L23" s="36"/>
    </row>
    <row r="24" spans="2:12" ht="27" customHeight="1" x14ac:dyDescent="0.2">
      <c r="B24" s="3"/>
      <c r="C24" s="119"/>
      <c r="D24" s="6" t="s">
        <v>19</v>
      </c>
      <c r="E24" s="6">
        <v>3</v>
      </c>
      <c r="F24" s="8">
        <f>E24*F21</f>
        <v>3</v>
      </c>
      <c r="G24" s="9">
        <f>E24*G21</f>
        <v>6</v>
      </c>
      <c r="H24" s="9">
        <f>E24*H21</f>
        <v>9</v>
      </c>
      <c r="I24" s="5"/>
      <c r="J24" s="31" t="s">
        <v>10</v>
      </c>
      <c r="K24" s="2" t="s">
        <v>11</v>
      </c>
      <c r="L24" s="32" t="s">
        <v>6</v>
      </c>
    </row>
    <row r="25" spans="2:12" x14ac:dyDescent="0.2">
      <c r="B25" s="3"/>
      <c r="C25" s="5"/>
      <c r="D25" s="5"/>
      <c r="E25" s="5"/>
      <c r="F25" s="5"/>
      <c r="G25" s="5"/>
      <c r="H25" s="5"/>
      <c r="I25" s="5"/>
      <c r="J25" s="7" t="s">
        <v>2</v>
      </c>
      <c r="K25" s="7">
        <v>1</v>
      </c>
      <c r="L25" s="37" t="s">
        <v>14</v>
      </c>
    </row>
    <row r="26" spans="2:12" x14ac:dyDescent="0.2">
      <c r="B26" s="3"/>
      <c r="D26" s="14"/>
      <c r="E26" s="14"/>
      <c r="H26" s="14"/>
      <c r="J26" s="8" t="s">
        <v>16</v>
      </c>
      <c r="K26" s="15">
        <v>2</v>
      </c>
      <c r="L26" s="38" t="s">
        <v>13</v>
      </c>
    </row>
    <row r="27" spans="2:12" x14ac:dyDescent="0.2">
      <c r="B27" s="3"/>
      <c r="D27" s="14"/>
      <c r="E27" s="14"/>
      <c r="J27" s="16" t="s">
        <v>1</v>
      </c>
      <c r="K27" s="17">
        <v>3</v>
      </c>
      <c r="L27" s="39" t="s">
        <v>12</v>
      </c>
    </row>
    <row r="28" spans="2:12" ht="9.75" customHeight="1" thickBot="1" x14ac:dyDescent="0.25">
      <c r="B28" s="10"/>
      <c r="C28" s="11"/>
      <c r="D28" s="12"/>
      <c r="E28" s="12"/>
      <c r="F28" s="11"/>
      <c r="G28" s="11"/>
      <c r="H28" s="11"/>
      <c r="I28" s="11"/>
      <c r="J28" s="11"/>
      <c r="K28" s="11"/>
      <c r="L28" s="13"/>
    </row>
    <row r="29" spans="2:12" ht="13.5" customHeight="1" x14ac:dyDescent="0.2">
      <c r="D29" s="14"/>
      <c r="E29" s="14"/>
    </row>
    <row r="30" spans="2:12" ht="13.5" customHeight="1" x14ac:dyDescent="0.2">
      <c r="D30" s="14"/>
      <c r="E30" s="14"/>
    </row>
  </sheetData>
  <mergeCells count="22">
    <mergeCell ref="C22:C24"/>
    <mergeCell ref="H2:L2"/>
    <mergeCell ref="B2:G2"/>
    <mergeCell ref="F19:H19"/>
    <mergeCell ref="B17:L17"/>
    <mergeCell ref="C5:L5"/>
    <mergeCell ref="C6:F6"/>
    <mergeCell ref="G6:I6"/>
    <mergeCell ref="C7:F7"/>
    <mergeCell ref="G7:K7"/>
    <mergeCell ref="G9:L9"/>
    <mergeCell ref="C10:F10"/>
    <mergeCell ref="G10:I10"/>
    <mergeCell ref="J10:K10"/>
    <mergeCell ref="C13:F13"/>
    <mergeCell ref="G13:I13"/>
    <mergeCell ref="J13:K13"/>
    <mergeCell ref="C11:F11"/>
    <mergeCell ref="G11:I11"/>
    <mergeCell ref="J11:K11"/>
    <mergeCell ref="C12:F12"/>
    <mergeCell ref="G12:I12"/>
  </mergeCells>
  <phoneticPr fontId="0" type="noConversion"/>
  <pageMargins left="0.75" right="0.75" top="1" bottom="1" header="0" footer="0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60C5-B629-4B52-8A95-7D2897176883}">
  <dimension ref="A1:N37"/>
  <sheetViews>
    <sheetView tabSelected="1" zoomScale="85" zoomScaleNormal="85" workbookViewId="0">
      <selection activeCell="Q10" sqref="Q10"/>
    </sheetView>
  </sheetViews>
  <sheetFormatPr baseColWidth="10" defaultRowHeight="12.75" x14ac:dyDescent="0.2"/>
  <cols>
    <col min="1" max="1" width="11.42578125" style="40"/>
    <col min="2" max="2" width="52.85546875" customWidth="1"/>
    <col min="3" max="3" width="11.42578125" style="98"/>
    <col min="4" max="4" width="16.140625" style="97" customWidth="1"/>
    <col min="5" max="5" width="15.42578125" style="97" customWidth="1"/>
    <col min="6" max="6" width="12.85546875" style="97" customWidth="1"/>
    <col min="7" max="7" width="11.42578125" style="97"/>
    <col min="8" max="8" width="18.5703125" style="40" customWidth="1"/>
    <col min="9" max="9" width="17.28515625" bestFit="1" customWidth="1"/>
    <col min="10" max="10" width="38.140625" customWidth="1"/>
    <col min="11" max="11" width="11.42578125" style="45"/>
    <col min="12" max="12" width="24.5703125" hidden="1" customWidth="1"/>
    <col min="13" max="13" width="11.42578125" hidden="1" customWidth="1"/>
  </cols>
  <sheetData>
    <row r="1" spans="1:14" ht="25.5" x14ac:dyDescent="0.2">
      <c r="A1" s="46" t="s">
        <v>47</v>
      </c>
      <c r="B1" s="46" t="s">
        <v>48</v>
      </c>
      <c r="C1" s="46" t="s">
        <v>49</v>
      </c>
      <c r="D1" s="46" t="s">
        <v>3</v>
      </c>
      <c r="E1" s="46" t="s">
        <v>15</v>
      </c>
      <c r="F1" s="46" t="s">
        <v>80</v>
      </c>
      <c r="G1" s="46" t="s">
        <v>79</v>
      </c>
      <c r="H1" s="46" t="s">
        <v>50</v>
      </c>
      <c r="I1" s="46" t="s">
        <v>52</v>
      </c>
      <c r="J1" s="67" t="s">
        <v>88</v>
      </c>
      <c r="K1" s="67" t="s">
        <v>51</v>
      </c>
      <c r="L1" s="67" t="s">
        <v>53</v>
      </c>
      <c r="M1" s="83" t="s">
        <v>108</v>
      </c>
    </row>
    <row r="2" spans="1:14" ht="38.25" x14ac:dyDescent="0.2">
      <c r="A2" s="51" t="s">
        <v>34</v>
      </c>
      <c r="B2" s="47" t="s">
        <v>55</v>
      </c>
      <c r="C2" s="47" t="s">
        <v>56</v>
      </c>
      <c r="D2" s="48" t="s">
        <v>19</v>
      </c>
      <c r="E2" s="48">
        <v>3</v>
      </c>
      <c r="F2" s="48" t="s">
        <v>19</v>
      </c>
      <c r="G2" s="48">
        <v>3</v>
      </c>
      <c r="H2" s="49">
        <f t="shared" ref="H2:H37" si="0">E2*G2</f>
        <v>9</v>
      </c>
      <c r="I2" s="54" t="s">
        <v>94</v>
      </c>
      <c r="J2" s="58" t="s">
        <v>89</v>
      </c>
      <c r="K2" s="59" t="s">
        <v>54</v>
      </c>
      <c r="L2" s="74" t="s">
        <v>107</v>
      </c>
      <c r="M2" s="75">
        <v>45941</v>
      </c>
    </row>
    <row r="3" spans="1:14" ht="38.25" x14ac:dyDescent="0.2">
      <c r="A3" s="51" t="s">
        <v>35</v>
      </c>
      <c r="B3" s="47" t="s">
        <v>173</v>
      </c>
      <c r="C3" s="47" t="s">
        <v>56</v>
      </c>
      <c r="D3" s="48" t="s">
        <v>18</v>
      </c>
      <c r="E3" s="48">
        <v>2</v>
      </c>
      <c r="F3" s="48" t="s">
        <v>18</v>
      </c>
      <c r="G3" s="48">
        <v>2</v>
      </c>
      <c r="H3" s="49">
        <f t="shared" si="0"/>
        <v>4</v>
      </c>
      <c r="I3" s="54" t="s">
        <v>94</v>
      </c>
      <c r="J3" s="60" t="s">
        <v>174</v>
      </c>
      <c r="K3" s="59" t="s">
        <v>54</v>
      </c>
      <c r="L3" s="61"/>
    </row>
    <row r="4" spans="1:14" x14ac:dyDescent="0.2">
      <c r="A4" s="51" t="s">
        <v>36</v>
      </c>
      <c r="B4" s="47" t="s">
        <v>57</v>
      </c>
      <c r="C4" s="47" t="s">
        <v>56</v>
      </c>
      <c r="D4" s="48" t="s">
        <v>19</v>
      </c>
      <c r="E4" s="48">
        <v>2</v>
      </c>
      <c r="F4" s="48" t="s">
        <v>19</v>
      </c>
      <c r="G4" s="48">
        <v>3</v>
      </c>
      <c r="H4" s="49">
        <f t="shared" si="0"/>
        <v>6</v>
      </c>
      <c r="I4" s="54" t="s">
        <v>95</v>
      </c>
      <c r="J4" s="60"/>
      <c r="K4" s="59" t="s">
        <v>54</v>
      </c>
      <c r="L4" s="61"/>
    </row>
    <row r="5" spans="1:14" ht="38.25" x14ac:dyDescent="0.2">
      <c r="A5" s="51" t="s">
        <v>37</v>
      </c>
      <c r="B5" s="47" t="s">
        <v>58</v>
      </c>
      <c r="C5" s="47" t="s">
        <v>112</v>
      </c>
      <c r="D5" s="48" t="s">
        <v>19</v>
      </c>
      <c r="E5" s="48">
        <v>3</v>
      </c>
      <c r="F5" s="48" t="s">
        <v>19</v>
      </c>
      <c r="G5" s="48">
        <v>3</v>
      </c>
      <c r="H5" s="49">
        <f t="shared" si="0"/>
        <v>9</v>
      </c>
      <c r="I5" s="54" t="s">
        <v>96</v>
      </c>
      <c r="J5" s="58" t="s">
        <v>90</v>
      </c>
      <c r="K5" s="59" t="s">
        <v>54</v>
      </c>
      <c r="L5" s="74" t="s">
        <v>107</v>
      </c>
      <c r="M5" s="75">
        <v>45941</v>
      </c>
    </row>
    <row r="6" spans="1:14" ht="25.5" x14ac:dyDescent="0.2">
      <c r="A6" s="51" t="s">
        <v>38</v>
      </c>
      <c r="B6" s="47" t="s">
        <v>60</v>
      </c>
      <c r="C6" s="47" t="s">
        <v>112</v>
      </c>
      <c r="D6" s="48" t="s">
        <v>18</v>
      </c>
      <c r="E6" s="48">
        <v>2</v>
      </c>
      <c r="F6" s="48" t="s">
        <v>18</v>
      </c>
      <c r="G6" s="48">
        <v>2</v>
      </c>
      <c r="H6" s="49">
        <f t="shared" si="0"/>
        <v>4</v>
      </c>
      <c r="I6" s="54" t="s">
        <v>96</v>
      </c>
      <c r="J6" s="58" t="s">
        <v>92</v>
      </c>
      <c r="K6" s="59" t="s">
        <v>54</v>
      </c>
      <c r="L6" s="61"/>
    </row>
    <row r="7" spans="1:14" ht="25.5" x14ac:dyDescent="0.2">
      <c r="A7" s="51" t="s">
        <v>39</v>
      </c>
      <c r="B7" s="47" t="s">
        <v>61</v>
      </c>
      <c r="C7" s="47" t="s">
        <v>112</v>
      </c>
      <c r="D7" s="48" t="s">
        <v>19</v>
      </c>
      <c r="E7" s="48">
        <v>1</v>
      </c>
      <c r="F7" s="48" t="s">
        <v>17</v>
      </c>
      <c r="G7" s="48">
        <v>3</v>
      </c>
      <c r="H7" s="49">
        <f t="shared" si="0"/>
        <v>3</v>
      </c>
      <c r="I7" s="54" t="s">
        <v>96</v>
      </c>
      <c r="J7" s="60" t="s">
        <v>62</v>
      </c>
      <c r="K7" s="59" t="s">
        <v>54</v>
      </c>
      <c r="L7" s="61"/>
    </row>
    <row r="8" spans="1:14" ht="25.5" x14ac:dyDescent="0.2">
      <c r="A8" s="51" t="s">
        <v>40</v>
      </c>
      <c r="B8" s="47" t="s">
        <v>63</v>
      </c>
      <c r="C8" s="47" t="s">
        <v>112</v>
      </c>
      <c r="D8" s="48" t="s">
        <v>18</v>
      </c>
      <c r="E8" s="48">
        <v>2</v>
      </c>
      <c r="F8" s="48" t="s">
        <v>18</v>
      </c>
      <c r="G8" s="48">
        <v>2</v>
      </c>
      <c r="H8" s="49">
        <f t="shared" si="0"/>
        <v>4</v>
      </c>
      <c r="I8" s="54" t="s">
        <v>96</v>
      </c>
      <c r="J8" s="58" t="s">
        <v>91</v>
      </c>
      <c r="K8" s="59" t="s">
        <v>54</v>
      </c>
      <c r="L8" s="74" t="s">
        <v>107</v>
      </c>
      <c r="M8" s="75">
        <v>45941</v>
      </c>
    </row>
    <row r="9" spans="1:14" ht="38.25" x14ac:dyDescent="0.2">
      <c r="A9" s="51" t="s">
        <v>41</v>
      </c>
      <c r="B9" s="47" t="s">
        <v>64</v>
      </c>
      <c r="C9" s="47" t="s">
        <v>65</v>
      </c>
      <c r="D9" s="48" t="s">
        <v>18</v>
      </c>
      <c r="E9" s="48">
        <v>1</v>
      </c>
      <c r="F9" s="48" t="s">
        <v>17</v>
      </c>
      <c r="G9" s="48">
        <v>2</v>
      </c>
      <c r="H9" s="49">
        <f t="shared" si="0"/>
        <v>2</v>
      </c>
      <c r="I9" s="54" t="s">
        <v>96</v>
      </c>
      <c r="J9" s="58" t="s">
        <v>93</v>
      </c>
      <c r="K9" s="59" t="s">
        <v>54</v>
      </c>
      <c r="L9" s="61"/>
    </row>
    <row r="10" spans="1:14" ht="25.5" x14ac:dyDescent="0.2">
      <c r="A10" s="51" t="s">
        <v>42</v>
      </c>
      <c r="B10" s="47" t="s">
        <v>66</v>
      </c>
      <c r="C10" s="47" t="s">
        <v>65</v>
      </c>
      <c r="D10" s="48" t="s">
        <v>18</v>
      </c>
      <c r="E10" s="48">
        <v>2</v>
      </c>
      <c r="F10" s="48" t="s">
        <v>18</v>
      </c>
      <c r="G10" s="48">
        <v>2</v>
      </c>
      <c r="H10" s="49">
        <f t="shared" si="0"/>
        <v>4</v>
      </c>
      <c r="I10" s="54" t="s">
        <v>96</v>
      </c>
      <c r="J10" s="60" t="s">
        <v>67</v>
      </c>
      <c r="K10" s="59" t="s">
        <v>54</v>
      </c>
      <c r="L10" s="61"/>
    </row>
    <row r="11" spans="1:14" x14ac:dyDescent="0.2">
      <c r="A11" s="51" t="s">
        <v>43</v>
      </c>
      <c r="B11" s="47" t="s">
        <v>68</v>
      </c>
      <c r="C11" s="47" t="s">
        <v>65</v>
      </c>
      <c r="D11" s="48" t="s">
        <v>19</v>
      </c>
      <c r="E11" s="48">
        <v>2</v>
      </c>
      <c r="F11" s="48" t="s">
        <v>19</v>
      </c>
      <c r="G11" s="48">
        <v>3</v>
      </c>
      <c r="H11" s="49">
        <f t="shared" si="0"/>
        <v>6</v>
      </c>
      <c r="I11" s="47" t="s">
        <v>81</v>
      </c>
      <c r="J11" s="60" t="s">
        <v>69</v>
      </c>
      <c r="K11" s="59" t="s">
        <v>54</v>
      </c>
      <c r="L11" s="61"/>
    </row>
    <row r="12" spans="1:14" ht="51" x14ac:dyDescent="0.2">
      <c r="A12" s="51" t="s">
        <v>44</v>
      </c>
      <c r="B12" s="54" t="s">
        <v>97</v>
      </c>
      <c r="C12" s="47" t="s">
        <v>73</v>
      </c>
      <c r="D12" s="48" t="s">
        <v>19</v>
      </c>
      <c r="E12" s="48">
        <v>3</v>
      </c>
      <c r="F12" s="48" t="s">
        <v>19</v>
      </c>
      <c r="G12" s="48">
        <v>3</v>
      </c>
      <c r="H12" s="49">
        <f t="shared" si="0"/>
        <v>9</v>
      </c>
      <c r="I12" s="54" t="s">
        <v>94</v>
      </c>
      <c r="J12" s="58" t="s">
        <v>105</v>
      </c>
      <c r="K12" s="59" t="s">
        <v>54</v>
      </c>
      <c r="L12" s="75"/>
      <c r="M12" s="75">
        <v>45941</v>
      </c>
    </row>
    <row r="13" spans="1:14" ht="25.5" x14ac:dyDescent="0.2">
      <c r="A13" s="51" t="s">
        <v>45</v>
      </c>
      <c r="B13" s="54" t="s">
        <v>72</v>
      </c>
      <c r="C13" s="47" t="s">
        <v>73</v>
      </c>
      <c r="D13" s="48" t="s">
        <v>18</v>
      </c>
      <c r="E13" s="48">
        <v>1</v>
      </c>
      <c r="F13" s="48" t="s">
        <v>17</v>
      </c>
      <c r="G13" s="48">
        <v>2</v>
      </c>
      <c r="H13" s="49">
        <f t="shared" si="0"/>
        <v>2</v>
      </c>
      <c r="I13" s="54" t="s">
        <v>96</v>
      </c>
      <c r="J13" s="60" t="s">
        <v>172</v>
      </c>
      <c r="K13" s="59" t="s">
        <v>54</v>
      </c>
      <c r="L13" s="61"/>
    </row>
    <row r="14" spans="1:14" ht="38.25" x14ac:dyDescent="0.2">
      <c r="A14" s="51" t="s">
        <v>46</v>
      </c>
      <c r="B14" s="54" t="s">
        <v>76</v>
      </c>
      <c r="C14" s="47" t="s">
        <v>56</v>
      </c>
      <c r="D14" s="48" t="s">
        <v>19</v>
      </c>
      <c r="E14" s="48">
        <v>3</v>
      </c>
      <c r="F14" s="48" t="s">
        <v>19</v>
      </c>
      <c r="G14" s="48">
        <v>3</v>
      </c>
      <c r="H14" s="49">
        <f t="shared" si="0"/>
        <v>9</v>
      </c>
      <c r="I14" s="54" t="s">
        <v>94</v>
      </c>
      <c r="J14" s="84" t="s">
        <v>106</v>
      </c>
      <c r="K14" s="59" t="s">
        <v>54</v>
      </c>
      <c r="L14" s="61"/>
      <c r="M14" s="75">
        <v>45941</v>
      </c>
    </row>
    <row r="15" spans="1:14" ht="25.5" x14ac:dyDescent="0.2">
      <c r="A15" s="56" t="s">
        <v>70</v>
      </c>
      <c r="B15" s="54" t="s">
        <v>78</v>
      </c>
      <c r="C15" s="47" t="s">
        <v>56</v>
      </c>
      <c r="D15" s="53" t="s">
        <v>19</v>
      </c>
      <c r="E15" s="53">
        <v>3</v>
      </c>
      <c r="F15" s="53" t="s">
        <v>19</v>
      </c>
      <c r="G15" s="53">
        <v>3</v>
      </c>
      <c r="H15" s="57">
        <f t="shared" si="0"/>
        <v>9</v>
      </c>
      <c r="I15" s="54" t="s">
        <v>95</v>
      </c>
      <c r="J15" s="60" t="s">
        <v>171</v>
      </c>
      <c r="K15" s="59" t="s">
        <v>54</v>
      </c>
      <c r="L15" s="61"/>
    </row>
    <row r="16" spans="1:14" ht="38.25" x14ac:dyDescent="0.2">
      <c r="A16" s="51" t="s">
        <v>71</v>
      </c>
      <c r="B16" s="54" t="s">
        <v>82</v>
      </c>
      <c r="C16" s="47" t="s">
        <v>112</v>
      </c>
      <c r="D16" s="92" t="s">
        <v>18</v>
      </c>
      <c r="E16" s="90">
        <v>2</v>
      </c>
      <c r="F16" s="92" t="s">
        <v>18</v>
      </c>
      <c r="G16" s="90">
        <v>2</v>
      </c>
      <c r="H16" s="63">
        <f t="shared" si="0"/>
        <v>4</v>
      </c>
      <c r="I16" s="54" t="s">
        <v>94</v>
      </c>
      <c r="J16" s="71" t="s">
        <v>100</v>
      </c>
      <c r="K16" s="59" t="s">
        <v>54</v>
      </c>
      <c r="L16" s="74" t="s">
        <v>107</v>
      </c>
      <c r="M16" s="75">
        <v>45941</v>
      </c>
      <c r="N16" s="75"/>
    </row>
    <row r="17" spans="1:13" ht="38.25" x14ac:dyDescent="0.2">
      <c r="A17" s="51" t="s">
        <v>74</v>
      </c>
      <c r="B17" s="54" t="s">
        <v>83</v>
      </c>
      <c r="C17" s="50" t="s">
        <v>56</v>
      </c>
      <c r="D17" s="92" t="s">
        <v>19</v>
      </c>
      <c r="E17" s="90">
        <v>3</v>
      </c>
      <c r="F17" s="92" t="s">
        <v>19</v>
      </c>
      <c r="G17" s="90">
        <v>3</v>
      </c>
      <c r="H17" s="63">
        <f t="shared" si="0"/>
        <v>9</v>
      </c>
      <c r="I17" s="54" t="s">
        <v>95</v>
      </c>
      <c r="J17" s="60" t="s">
        <v>170</v>
      </c>
      <c r="K17" s="59" t="s">
        <v>54</v>
      </c>
      <c r="L17" s="68"/>
    </row>
    <row r="18" spans="1:13" ht="38.25" x14ac:dyDescent="0.2">
      <c r="A18" s="51" t="s">
        <v>75</v>
      </c>
      <c r="B18" s="54" t="s">
        <v>84</v>
      </c>
      <c r="C18" s="47" t="s">
        <v>56</v>
      </c>
      <c r="D18" s="92" t="s">
        <v>18</v>
      </c>
      <c r="E18" s="90">
        <v>2</v>
      </c>
      <c r="F18" s="92" t="s">
        <v>19</v>
      </c>
      <c r="G18" s="90">
        <v>3</v>
      </c>
      <c r="H18" s="63">
        <f t="shared" si="0"/>
        <v>6</v>
      </c>
      <c r="I18" s="54" t="s">
        <v>94</v>
      </c>
      <c r="J18" s="71" t="s">
        <v>101</v>
      </c>
      <c r="K18" s="59" t="s">
        <v>54</v>
      </c>
      <c r="L18" s="74" t="s">
        <v>107</v>
      </c>
      <c r="M18" s="75">
        <v>45941</v>
      </c>
    </row>
    <row r="19" spans="1:13" ht="38.25" x14ac:dyDescent="0.2">
      <c r="A19" s="51" t="s">
        <v>77</v>
      </c>
      <c r="B19" s="54" t="s">
        <v>85</v>
      </c>
      <c r="C19" s="47" t="s">
        <v>56</v>
      </c>
      <c r="D19" s="92" t="s">
        <v>18</v>
      </c>
      <c r="E19" s="90">
        <v>2</v>
      </c>
      <c r="F19" s="92" t="s">
        <v>17</v>
      </c>
      <c r="G19" s="90">
        <v>1</v>
      </c>
      <c r="H19" s="63">
        <f t="shared" si="0"/>
        <v>2</v>
      </c>
      <c r="I19" s="54" t="s">
        <v>96</v>
      </c>
      <c r="J19" s="71" t="s">
        <v>102</v>
      </c>
      <c r="K19" s="59" t="s">
        <v>54</v>
      </c>
      <c r="L19" s="68"/>
    </row>
    <row r="20" spans="1:13" ht="25.5" x14ac:dyDescent="0.2">
      <c r="A20" s="51" t="s">
        <v>98</v>
      </c>
      <c r="B20" s="54" t="s">
        <v>86</v>
      </c>
      <c r="C20" s="47" t="s">
        <v>112</v>
      </c>
      <c r="D20" s="92" t="s">
        <v>18</v>
      </c>
      <c r="E20" s="90">
        <v>2</v>
      </c>
      <c r="F20" s="92" t="s">
        <v>19</v>
      </c>
      <c r="G20" s="90">
        <v>3</v>
      </c>
      <c r="H20" s="63">
        <f t="shared" si="0"/>
        <v>6</v>
      </c>
      <c r="I20" s="54" t="s">
        <v>96</v>
      </c>
      <c r="J20" s="71" t="s">
        <v>103</v>
      </c>
      <c r="K20" s="59" t="s">
        <v>54</v>
      </c>
      <c r="L20" s="74" t="s">
        <v>107</v>
      </c>
    </row>
    <row r="21" spans="1:13" ht="38.25" x14ac:dyDescent="0.2">
      <c r="A21" s="51" t="s">
        <v>99</v>
      </c>
      <c r="B21" s="54" t="s">
        <v>87</v>
      </c>
      <c r="C21" s="47" t="s">
        <v>56</v>
      </c>
      <c r="D21" s="92" t="s">
        <v>18</v>
      </c>
      <c r="E21" s="90">
        <v>2</v>
      </c>
      <c r="F21" s="92" t="s">
        <v>19</v>
      </c>
      <c r="G21" s="90">
        <v>3</v>
      </c>
      <c r="H21" s="63">
        <f t="shared" si="0"/>
        <v>6</v>
      </c>
      <c r="I21" s="54" t="s">
        <v>94</v>
      </c>
      <c r="J21" s="71" t="s">
        <v>104</v>
      </c>
      <c r="K21" s="59" t="s">
        <v>54</v>
      </c>
      <c r="L21" s="75"/>
      <c r="M21" s="82">
        <v>45941</v>
      </c>
    </row>
    <row r="22" spans="1:13" ht="25.5" x14ac:dyDescent="0.2">
      <c r="A22" s="51" t="s">
        <v>117</v>
      </c>
      <c r="B22" s="85" t="s">
        <v>114</v>
      </c>
      <c r="C22" s="47" t="s">
        <v>56</v>
      </c>
      <c r="D22" s="90" t="s">
        <v>18</v>
      </c>
      <c r="E22" s="90">
        <v>2</v>
      </c>
      <c r="F22" s="90" t="s">
        <v>19</v>
      </c>
      <c r="G22" s="90">
        <v>2</v>
      </c>
      <c r="H22" s="63">
        <f t="shared" si="0"/>
        <v>4</v>
      </c>
      <c r="I22" s="54" t="s">
        <v>94</v>
      </c>
      <c r="J22" s="71" t="s">
        <v>121</v>
      </c>
      <c r="K22" s="59" t="s">
        <v>54</v>
      </c>
      <c r="L22" s="86"/>
    </row>
    <row r="23" spans="1:13" ht="25.5" x14ac:dyDescent="0.2">
      <c r="A23" s="51" t="s">
        <v>118</v>
      </c>
      <c r="B23" s="85" t="s">
        <v>115</v>
      </c>
      <c r="C23" s="47" t="s">
        <v>56</v>
      </c>
      <c r="D23" s="90" t="s">
        <v>18</v>
      </c>
      <c r="E23" s="90">
        <v>3</v>
      </c>
      <c r="F23" s="90" t="s">
        <v>18</v>
      </c>
      <c r="G23" s="90">
        <v>3</v>
      </c>
      <c r="H23" s="63">
        <f t="shared" si="0"/>
        <v>9</v>
      </c>
      <c r="I23" s="54" t="s">
        <v>94</v>
      </c>
      <c r="J23" s="71" t="s">
        <v>122</v>
      </c>
      <c r="K23" s="59" t="s">
        <v>54</v>
      </c>
      <c r="L23" s="86"/>
    </row>
    <row r="24" spans="1:13" ht="25.5" x14ac:dyDescent="0.2">
      <c r="A24" s="51" t="s">
        <v>119</v>
      </c>
      <c r="B24" s="54" t="s">
        <v>116</v>
      </c>
      <c r="C24" s="47" t="s">
        <v>56</v>
      </c>
      <c r="D24" s="92" t="s">
        <v>19</v>
      </c>
      <c r="E24" s="90">
        <v>2</v>
      </c>
      <c r="F24" s="92" t="s">
        <v>19</v>
      </c>
      <c r="G24" s="90">
        <v>3</v>
      </c>
      <c r="H24" s="63">
        <f t="shared" si="0"/>
        <v>6</v>
      </c>
      <c r="I24" s="54" t="s">
        <v>94</v>
      </c>
      <c r="J24" s="71" t="s">
        <v>120</v>
      </c>
      <c r="K24" s="59" t="s">
        <v>54</v>
      </c>
      <c r="L24" s="75"/>
    </row>
    <row r="25" spans="1:13" ht="38.25" x14ac:dyDescent="0.2">
      <c r="A25" s="51" t="s">
        <v>125</v>
      </c>
      <c r="B25" s="54" t="s">
        <v>128</v>
      </c>
      <c r="C25" s="47" t="s">
        <v>133</v>
      </c>
      <c r="D25" s="92" t="s">
        <v>19</v>
      </c>
      <c r="E25" s="90">
        <v>3</v>
      </c>
      <c r="F25" s="92" t="s">
        <v>19</v>
      </c>
      <c r="G25" s="90">
        <v>3</v>
      </c>
      <c r="H25" s="63">
        <f t="shared" si="0"/>
        <v>9</v>
      </c>
      <c r="I25" s="54" t="s">
        <v>95</v>
      </c>
      <c r="J25" s="71" t="s">
        <v>134</v>
      </c>
      <c r="K25" s="59" t="s">
        <v>54</v>
      </c>
      <c r="L25" s="75"/>
    </row>
    <row r="26" spans="1:13" ht="38.25" x14ac:dyDescent="0.2">
      <c r="A26" s="51" t="s">
        <v>126</v>
      </c>
      <c r="B26" s="54" t="s">
        <v>129</v>
      </c>
      <c r="C26" s="47" t="s">
        <v>133</v>
      </c>
      <c r="D26" s="92" t="s">
        <v>19</v>
      </c>
      <c r="E26" s="90">
        <v>3</v>
      </c>
      <c r="F26" s="92" t="s">
        <v>19</v>
      </c>
      <c r="G26" s="90">
        <v>3</v>
      </c>
      <c r="H26" s="63">
        <f t="shared" si="0"/>
        <v>9</v>
      </c>
      <c r="I26" s="54" t="s">
        <v>95</v>
      </c>
      <c r="J26" s="71" t="s">
        <v>134</v>
      </c>
      <c r="K26" s="59" t="s">
        <v>54</v>
      </c>
      <c r="L26" s="75"/>
    </row>
    <row r="27" spans="1:13" ht="25.5" x14ac:dyDescent="0.2">
      <c r="A27" s="51" t="s">
        <v>127</v>
      </c>
      <c r="B27" s="54" t="s">
        <v>130</v>
      </c>
      <c r="C27" s="47" t="s">
        <v>56</v>
      </c>
      <c r="D27" s="92" t="s">
        <v>18</v>
      </c>
      <c r="E27" s="90">
        <v>2</v>
      </c>
      <c r="F27" s="92" t="s">
        <v>19</v>
      </c>
      <c r="G27" s="90">
        <v>3</v>
      </c>
      <c r="H27" s="63">
        <f t="shared" si="0"/>
        <v>6</v>
      </c>
      <c r="I27" s="54" t="s">
        <v>95</v>
      </c>
      <c r="J27" s="71" t="s">
        <v>135</v>
      </c>
      <c r="K27" s="59" t="s">
        <v>54</v>
      </c>
      <c r="L27" s="75"/>
    </row>
    <row r="28" spans="1:13" ht="38.25" x14ac:dyDescent="0.2">
      <c r="A28" s="51" t="s">
        <v>132</v>
      </c>
      <c r="B28" s="54" t="s">
        <v>131</v>
      </c>
      <c r="C28" s="47" t="s">
        <v>112</v>
      </c>
      <c r="D28" s="92" t="s">
        <v>18</v>
      </c>
      <c r="E28" s="90">
        <v>2</v>
      </c>
      <c r="F28" s="92" t="s">
        <v>18</v>
      </c>
      <c r="G28" s="90">
        <v>2</v>
      </c>
      <c r="H28" s="63">
        <f t="shared" si="0"/>
        <v>4</v>
      </c>
      <c r="I28" s="54" t="s">
        <v>96</v>
      </c>
      <c r="J28" s="96" t="s">
        <v>151</v>
      </c>
      <c r="K28" s="59" t="s">
        <v>54</v>
      </c>
      <c r="L28" s="75"/>
    </row>
    <row r="29" spans="1:13" ht="38.25" x14ac:dyDescent="0.2">
      <c r="A29" s="51" t="s">
        <v>139</v>
      </c>
      <c r="B29" s="54" t="s">
        <v>141</v>
      </c>
      <c r="C29" s="47" t="s">
        <v>112</v>
      </c>
      <c r="D29" s="92" t="s">
        <v>18</v>
      </c>
      <c r="E29" s="90">
        <v>2</v>
      </c>
      <c r="F29" s="92" t="s">
        <v>19</v>
      </c>
      <c r="G29" s="90">
        <v>3</v>
      </c>
      <c r="H29" s="63">
        <f t="shared" si="0"/>
        <v>6</v>
      </c>
      <c r="I29" s="54" t="s">
        <v>96</v>
      </c>
      <c r="J29" s="71" t="s">
        <v>149</v>
      </c>
      <c r="K29" s="59" t="s">
        <v>54</v>
      </c>
      <c r="L29" s="74"/>
    </row>
    <row r="30" spans="1:13" ht="38.25" x14ac:dyDescent="0.2">
      <c r="A30" s="51" t="s">
        <v>140</v>
      </c>
      <c r="B30" s="54" t="s">
        <v>68</v>
      </c>
      <c r="C30" s="47" t="s">
        <v>112</v>
      </c>
      <c r="D30" s="92" t="s">
        <v>19</v>
      </c>
      <c r="E30" s="90">
        <v>3</v>
      </c>
      <c r="F30" s="92" t="s">
        <v>19</v>
      </c>
      <c r="G30" s="90">
        <v>3</v>
      </c>
      <c r="H30" s="63">
        <f t="shared" si="0"/>
        <v>9</v>
      </c>
      <c r="I30" s="54" t="s">
        <v>96</v>
      </c>
      <c r="J30" s="71" t="s">
        <v>154</v>
      </c>
      <c r="K30" s="59" t="s">
        <v>54</v>
      </c>
      <c r="L30" s="74"/>
    </row>
    <row r="31" spans="1:13" ht="25.5" x14ac:dyDescent="0.2">
      <c r="A31" s="51" t="s">
        <v>142</v>
      </c>
      <c r="B31" s="54" t="s">
        <v>148</v>
      </c>
      <c r="C31" s="55" t="s">
        <v>133</v>
      </c>
      <c r="D31" s="92" t="s">
        <v>18</v>
      </c>
      <c r="E31" s="90">
        <v>2</v>
      </c>
      <c r="F31" s="92" t="s">
        <v>18</v>
      </c>
      <c r="G31" s="90">
        <v>2</v>
      </c>
      <c r="H31" s="63">
        <f t="shared" si="0"/>
        <v>4</v>
      </c>
      <c r="I31" s="54" t="s">
        <v>96</v>
      </c>
      <c r="J31" s="71" t="s">
        <v>150</v>
      </c>
      <c r="K31" s="59" t="s">
        <v>54</v>
      </c>
      <c r="L31" s="74"/>
    </row>
    <row r="32" spans="1:13" ht="38.25" x14ac:dyDescent="0.2">
      <c r="A32" s="51" t="s">
        <v>143</v>
      </c>
      <c r="B32" s="54" t="s">
        <v>144</v>
      </c>
      <c r="C32" s="55" t="s">
        <v>133</v>
      </c>
      <c r="D32" s="92" t="s">
        <v>18</v>
      </c>
      <c r="E32" s="90">
        <v>2</v>
      </c>
      <c r="F32" s="92" t="s">
        <v>19</v>
      </c>
      <c r="G32" s="90">
        <v>3</v>
      </c>
      <c r="H32" s="63">
        <f t="shared" si="0"/>
        <v>6</v>
      </c>
      <c r="I32" s="54" t="s">
        <v>96</v>
      </c>
      <c r="J32" s="71" t="s">
        <v>151</v>
      </c>
      <c r="K32" s="59" t="s">
        <v>54</v>
      </c>
      <c r="L32" s="74"/>
    </row>
    <row r="33" spans="1:12" ht="63.75" x14ac:dyDescent="0.2">
      <c r="A33" s="51" t="s">
        <v>145</v>
      </c>
      <c r="B33" s="54" t="s">
        <v>147</v>
      </c>
      <c r="C33" s="55" t="s">
        <v>112</v>
      </c>
      <c r="D33" s="92" t="s">
        <v>18</v>
      </c>
      <c r="E33" s="90">
        <v>2</v>
      </c>
      <c r="F33" s="92" t="s">
        <v>19</v>
      </c>
      <c r="G33" s="90">
        <v>3</v>
      </c>
      <c r="H33" s="63">
        <f t="shared" si="0"/>
        <v>6</v>
      </c>
      <c r="I33" s="54" t="s">
        <v>96</v>
      </c>
      <c r="J33" s="58" t="s">
        <v>155</v>
      </c>
      <c r="K33" s="59" t="s">
        <v>54</v>
      </c>
      <c r="L33" s="74" t="s">
        <v>152</v>
      </c>
    </row>
    <row r="34" spans="1:12" ht="38.25" x14ac:dyDescent="0.2">
      <c r="A34" s="51" t="s">
        <v>157</v>
      </c>
      <c r="B34" s="54" t="s">
        <v>158</v>
      </c>
      <c r="C34" s="55" t="s">
        <v>112</v>
      </c>
      <c r="D34" s="92" t="s">
        <v>18</v>
      </c>
      <c r="E34" s="90">
        <v>2</v>
      </c>
      <c r="F34" s="92" t="s">
        <v>19</v>
      </c>
      <c r="G34" s="90">
        <v>3</v>
      </c>
      <c r="H34" s="63">
        <f t="shared" si="0"/>
        <v>6</v>
      </c>
      <c r="I34" s="54" t="s">
        <v>94</v>
      </c>
      <c r="J34" s="71" t="s">
        <v>159</v>
      </c>
      <c r="K34" s="59" t="s">
        <v>54</v>
      </c>
      <c r="L34" s="74"/>
    </row>
    <row r="35" spans="1:12" ht="25.5" x14ac:dyDescent="0.2">
      <c r="A35" s="51" t="s">
        <v>166</v>
      </c>
      <c r="B35" s="54" t="s">
        <v>160</v>
      </c>
      <c r="C35" s="55" t="s">
        <v>56</v>
      </c>
      <c r="D35" s="92" t="s">
        <v>17</v>
      </c>
      <c r="E35" s="90">
        <v>1</v>
      </c>
      <c r="F35" s="92" t="s">
        <v>19</v>
      </c>
      <c r="G35" s="90">
        <v>3</v>
      </c>
      <c r="H35" s="63">
        <f t="shared" si="0"/>
        <v>3</v>
      </c>
      <c r="I35" s="54" t="s">
        <v>94</v>
      </c>
      <c r="J35" s="71" t="s">
        <v>163</v>
      </c>
      <c r="K35" s="59" t="s">
        <v>54</v>
      </c>
      <c r="L35" s="74"/>
    </row>
    <row r="36" spans="1:12" ht="38.25" x14ac:dyDescent="0.2">
      <c r="A36" s="51" t="s">
        <v>167</v>
      </c>
      <c r="B36" s="54" t="s">
        <v>161</v>
      </c>
      <c r="C36" s="55" t="s">
        <v>133</v>
      </c>
      <c r="D36" s="92" t="s">
        <v>18</v>
      </c>
      <c r="E36" s="90">
        <v>2</v>
      </c>
      <c r="F36" s="92" t="s">
        <v>19</v>
      </c>
      <c r="G36" s="90">
        <v>3</v>
      </c>
      <c r="H36" s="63">
        <f t="shared" si="0"/>
        <v>6</v>
      </c>
      <c r="I36" s="54" t="s">
        <v>95</v>
      </c>
      <c r="J36" s="71" t="s">
        <v>164</v>
      </c>
      <c r="K36" s="59" t="s">
        <v>54</v>
      </c>
      <c r="L36" s="74"/>
    </row>
    <row r="37" spans="1:12" ht="38.25" x14ac:dyDescent="0.2">
      <c r="A37" s="51" t="s">
        <v>168</v>
      </c>
      <c r="B37" s="54" t="s">
        <v>162</v>
      </c>
      <c r="C37" s="55" t="s">
        <v>112</v>
      </c>
      <c r="D37" s="92" t="s">
        <v>18</v>
      </c>
      <c r="E37" s="90">
        <v>2</v>
      </c>
      <c r="F37" s="92" t="s">
        <v>18</v>
      </c>
      <c r="G37" s="90">
        <v>2</v>
      </c>
      <c r="H37" s="63">
        <f t="shared" si="0"/>
        <v>4</v>
      </c>
      <c r="I37" s="54" t="s">
        <v>96</v>
      </c>
      <c r="J37" s="71" t="s">
        <v>165</v>
      </c>
      <c r="K37" s="59" t="s">
        <v>54</v>
      </c>
      <c r="L37" s="74"/>
    </row>
  </sheetData>
  <autoFilter ref="A1:M37" xr:uid="{70AD60C5-B629-4B52-8A95-7D2897176883}"/>
  <phoneticPr fontId="11" type="noConversion"/>
  <conditionalFormatting sqref="H1:H23 H38:H1048576">
    <cfRule type="cellIs" dxfId="154" priority="56" operator="greaterThan">
      <formula>4</formula>
    </cfRule>
    <cfRule type="cellIs" dxfId="153" priority="57" operator="between">
      <formula>3</formula>
      <formula>4</formula>
    </cfRule>
    <cfRule type="cellIs" dxfId="152" priority="58" operator="between">
      <formula>1</formula>
      <formula>2</formula>
    </cfRule>
  </conditionalFormatting>
  <conditionalFormatting sqref="K2">
    <cfRule type="cellIs" dxfId="151" priority="53" operator="greaterThan">
      <formula>4</formula>
    </cfRule>
    <cfRule type="cellIs" dxfId="150" priority="54" operator="between">
      <formula>3</formula>
      <formula>4</formula>
    </cfRule>
    <cfRule type="cellIs" dxfId="149" priority="55" operator="between">
      <formula>1</formula>
      <formula>2</formula>
    </cfRule>
  </conditionalFormatting>
  <conditionalFormatting sqref="K1:K2 K38:K1048576">
    <cfRule type="cellIs" dxfId="148" priority="45" operator="equal">
      <formula>"Inactivo"</formula>
    </cfRule>
    <cfRule type="cellIs" dxfId="147" priority="47" operator="equal">
      <formula>"Cerrado"</formula>
    </cfRule>
    <cfRule type="cellIs" dxfId="146" priority="48" operator="equal">
      <formula>"Controlado"</formula>
    </cfRule>
    <cfRule type="cellIs" dxfId="145" priority="49" operator="equal">
      <formula>"Activo"</formula>
    </cfRule>
  </conditionalFormatting>
  <conditionalFormatting sqref="H24:H28">
    <cfRule type="cellIs" dxfId="144" priority="42" operator="greaterThan">
      <formula>4</formula>
    </cfRule>
    <cfRule type="cellIs" dxfId="143" priority="43" operator="between">
      <formula>3</formula>
      <formula>4</formula>
    </cfRule>
    <cfRule type="cellIs" dxfId="142" priority="44" operator="between">
      <formula>1</formula>
      <formula>2</formula>
    </cfRule>
  </conditionalFormatting>
  <conditionalFormatting sqref="H29:H32">
    <cfRule type="cellIs" dxfId="141" priority="35" operator="greaterThan">
      <formula>4</formula>
    </cfRule>
    <cfRule type="cellIs" dxfId="140" priority="36" operator="between">
      <formula>3</formula>
      <formula>4</formula>
    </cfRule>
    <cfRule type="cellIs" dxfId="139" priority="37" operator="between">
      <formula>1</formula>
      <formula>2</formula>
    </cfRule>
  </conditionalFormatting>
  <conditionalFormatting sqref="H33:H37">
    <cfRule type="cellIs" dxfId="138" priority="24" operator="greaterThan">
      <formula>4</formula>
    </cfRule>
    <cfRule type="cellIs" dxfId="137" priority="25" operator="between">
      <formula>3</formula>
      <formula>4</formula>
    </cfRule>
    <cfRule type="cellIs" dxfId="136" priority="26" operator="between">
      <formula>1</formula>
      <formula>2</formula>
    </cfRule>
  </conditionalFormatting>
  <conditionalFormatting sqref="K3:K37">
    <cfRule type="cellIs" dxfId="135" priority="5" operator="greaterThan">
      <formula>4</formula>
    </cfRule>
    <cfRule type="cellIs" dxfId="134" priority="6" operator="between">
      <formula>3</formula>
      <formula>4</formula>
    </cfRule>
    <cfRule type="cellIs" dxfId="133" priority="7" operator="between">
      <formula>1</formula>
      <formula>2</formula>
    </cfRule>
  </conditionalFormatting>
  <conditionalFormatting sqref="K3:K37">
    <cfRule type="cellIs" dxfId="132" priority="1" operator="equal">
      <formula>"Inactivo"</formula>
    </cfRule>
    <cfRule type="cellIs" dxfId="131" priority="2" operator="equal">
      <formula>"Cerrado"</formula>
    </cfRule>
    <cfRule type="cellIs" dxfId="130" priority="3" operator="equal">
      <formula>"Controlado"</formula>
    </cfRule>
    <cfRule type="cellIs" dxfId="129" priority="4" operator="equal">
      <formula>"Activo"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97A9-9A9B-4988-9C74-86C56417E5DF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F8AE-2CB8-4E8B-AB5B-DDE84409D4B2}">
  <dimension ref="B5:N13"/>
  <sheetViews>
    <sheetView workbookViewId="0">
      <selection activeCell="J23" sqref="J23"/>
    </sheetView>
  </sheetViews>
  <sheetFormatPr baseColWidth="10" defaultRowHeight="12.75" x14ac:dyDescent="0.2"/>
  <cols>
    <col min="2" max="2" width="4.28515625" bestFit="1" customWidth="1"/>
    <col min="3" max="3" width="40.140625" customWidth="1"/>
    <col min="11" max="11" width="60.28515625" customWidth="1"/>
  </cols>
  <sheetData>
    <row r="5" spans="2:14" ht="38.25" x14ac:dyDescent="0.2">
      <c r="B5" s="46" t="s">
        <v>47</v>
      </c>
      <c r="C5" s="46" t="s">
        <v>48</v>
      </c>
      <c r="D5" s="46" t="s">
        <v>49</v>
      </c>
      <c r="E5" s="46" t="s">
        <v>3</v>
      </c>
      <c r="F5" s="46" t="s">
        <v>15</v>
      </c>
      <c r="G5" s="46" t="s">
        <v>80</v>
      </c>
      <c r="H5" s="46" t="s">
        <v>79</v>
      </c>
      <c r="I5" s="46" t="s">
        <v>50</v>
      </c>
      <c r="J5" s="46" t="s">
        <v>52</v>
      </c>
      <c r="K5" s="67" t="s">
        <v>88</v>
      </c>
      <c r="L5" s="67" t="s">
        <v>51</v>
      </c>
      <c r="M5" s="67" t="s">
        <v>53</v>
      </c>
      <c r="N5" s="76" t="s">
        <v>108</v>
      </c>
    </row>
    <row r="6" spans="2:14" ht="25.5" x14ac:dyDescent="0.2">
      <c r="B6" s="51" t="s">
        <v>34</v>
      </c>
      <c r="C6" s="47" t="s">
        <v>55</v>
      </c>
      <c r="D6" s="47" t="s">
        <v>56</v>
      </c>
      <c r="E6" s="48" t="s">
        <v>19</v>
      </c>
      <c r="F6" s="48">
        <v>3</v>
      </c>
      <c r="G6" s="48" t="s">
        <v>19</v>
      </c>
      <c r="H6" s="48">
        <v>3</v>
      </c>
      <c r="I6" s="49">
        <v>9</v>
      </c>
      <c r="J6" s="54" t="s">
        <v>94</v>
      </c>
      <c r="K6" s="58" t="s">
        <v>89</v>
      </c>
      <c r="L6" s="59" t="s">
        <v>59</v>
      </c>
      <c r="M6" s="74" t="s">
        <v>107</v>
      </c>
      <c r="N6" s="75">
        <v>45941</v>
      </c>
    </row>
    <row r="7" spans="2:14" ht="38.25" x14ac:dyDescent="0.2">
      <c r="B7" s="51" t="s">
        <v>37</v>
      </c>
      <c r="C7" s="47" t="s">
        <v>58</v>
      </c>
      <c r="D7" s="47" t="s">
        <v>112</v>
      </c>
      <c r="E7" s="48" t="s">
        <v>19</v>
      </c>
      <c r="F7" s="48">
        <v>3</v>
      </c>
      <c r="G7" s="48" t="s">
        <v>19</v>
      </c>
      <c r="H7" s="48">
        <v>3</v>
      </c>
      <c r="I7" s="49">
        <v>9</v>
      </c>
      <c r="J7" s="54" t="s">
        <v>96</v>
      </c>
      <c r="K7" s="58" t="s">
        <v>90</v>
      </c>
      <c r="L7" s="59" t="s">
        <v>59</v>
      </c>
      <c r="M7" s="74" t="s">
        <v>107</v>
      </c>
      <c r="N7" s="75">
        <v>45941</v>
      </c>
    </row>
    <row r="8" spans="2:14" ht="38.25" x14ac:dyDescent="0.2">
      <c r="B8" s="51" t="s">
        <v>40</v>
      </c>
      <c r="C8" s="47" t="s">
        <v>63</v>
      </c>
      <c r="D8" s="47" t="s">
        <v>112</v>
      </c>
      <c r="E8" s="48" t="s">
        <v>18</v>
      </c>
      <c r="F8" s="48">
        <v>2</v>
      </c>
      <c r="G8" s="48" t="s">
        <v>18</v>
      </c>
      <c r="H8" s="48">
        <v>2</v>
      </c>
      <c r="I8" s="49">
        <v>4</v>
      </c>
      <c r="J8" s="54" t="s">
        <v>96</v>
      </c>
      <c r="K8" s="58" t="s">
        <v>91</v>
      </c>
      <c r="L8" s="59" t="s">
        <v>59</v>
      </c>
      <c r="M8" s="74" t="s">
        <v>107</v>
      </c>
      <c r="N8" s="75">
        <v>45941</v>
      </c>
    </row>
    <row r="9" spans="2:14" ht="38.25" x14ac:dyDescent="0.2">
      <c r="B9" s="51" t="s">
        <v>44</v>
      </c>
      <c r="C9" s="54" t="s">
        <v>97</v>
      </c>
      <c r="D9" s="47" t="s">
        <v>73</v>
      </c>
      <c r="E9" s="48" t="s">
        <v>19</v>
      </c>
      <c r="F9" s="48">
        <v>3</v>
      </c>
      <c r="G9" s="48" t="s">
        <v>19</v>
      </c>
      <c r="H9" s="48">
        <v>3</v>
      </c>
      <c r="I9" s="49">
        <v>9</v>
      </c>
      <c r="J9" s="54" t="s">
        <v>94</v>
      </c>
      <c r="K9" s="58" t="s">
        <v>105</v>
      </c>
      <c r="L9" s="59" t="s">
        <v>54</v>
      </c>
      <c r="M9" s="75"/>
      <c r="N9" s="75">
        <v>45941</v>
      </c>
    </row>
    <row r="10" spans="2:14" ht="25.5" x14ac:dyDescent="0.2">
      <c r="B10" s="51" t="s">
        <v>46</v>
      </c>
      <c r="C10" s="54" t="s">
        <v>76</v>
      </c>
      <c r="D10" s="47" t="s">
        <v>56</v>
      </c>
      <c r="E10" s="48" t="s">
        <v>19</v>
      </c>
      <c r="F10" s="48">
        <v>3</v>
      </c>
      <c r="G10" s="48" t="s">
        <v>19</v>
      </c>
      <c r="H10" s="48">
        <v>3</v>
      </c>
      <c r="I10" s="49">
        <v>9</v>
      </c>
      <c r="J10" s="54" t="s">
        <v>94</v>
      </c>
      <c r="K10" s="73" t="s">
        <v>106</v>
      </c>
      <c r="L10" s="59" t="s">
        <v>54</v>
      </c>
      <c r="M10" s="61"/>
      <c r="N10" s="75">
        <v>45941</v>
      </c>
    </row>
    <row r="11" spans="2:14" ht="25.5" x14ac:dyDescent="0.2">
      <c r="B11" s="51" t="s">
        <v>71</v>
      </c>
      <c r="C11" s="54" t="s">
        <v>82</v>
      </c>
      <c r="D11" s="55" t="s">
        <v>112</v>
      </c>
      <c r="E11" s="62" t="s">
        <v>18</v>
      </c>
      <c r="F11" s="63">
        <v>2</v>
      </c>
      <c r="G11" s="62" t="s">
        <v>18</v>
      </c>
      <c r="H11" s="63">
        <v>2</v>
      </c>
      <c r="I11" s="63">
        <v>4</v>
      </c>
      <c r="J11" s="54" t="s">
        <v>94</v>
      </c>
      <c r="K11" s="71" t="s">
        <v>100</v>
      </c>
      <c r="L11" s="69" t="s">
        <v>59</v>
      </c>
      <c r="M11" s="74" t="s">
        <v>107</v>
      </c>
      <c r="N11" s="75">
        <v>45941</v>
      </c>
    </row>
    <row r="12" spans="2:14" ht="25.5" x14ac:dyDescent="0.2">
      <c r="B12" s="51" t="s">
        <v>75</v>
      </c>
      <c r="C12" s="54" t="s">
        <v>84</v>
      </c>
      <c r="D12" s="47" t="s">
        <v>56</v>
      </c>
      <c r="E12" s="62" t="s">
        <v>18</v>
      </c>
      <c r="F12" s="63">
        <v>2</v>
      </c>
      <c r="G12" s="62" t="s">
        <v>19</v>
      </c>
      <c r="H12" s="63">
        <v>3</v>
      </c>
      <c r="I12" s="63">
        <v>6</v>
      </c>
      <c r="J12" s="54" t="s">
        <v>94</v>
      </c>
      <c r="K12" s="71" t="s">
        <v>101</v>
      </c>
      <c r="L12" s="69" t="s">
        <v>59</v>
      </c>
      <c r="M12" s="74" t="s">
        <v>107</v>
      </c>
      <c r="N12" s="75">
        <v>45941</v>
      </c>
    </row>
    <row r="13" spans="2:14" ht="25.5" x14ac:dyDescent="0.2">
      <c r="B13" s="52" t="s">
        <v>99</v>
      </c>
      <c r="C13" s="66" t="s">
        <v>87</v>
      </c>
      <c r="D13" s="50" t="s">
        <v>56</v>
      </c>
      <c r="E13" s="64" t="s">
        <v>18</v>
      </c>
      <c r="F13" s="65">
        <v>2</v>
      </c>
      <c r="G13" s="64" t="s">
        <v>19</v>
      </c>
      <c r="H13" s="65">
        <v>3</v>
      </c>
      <c r="I13" s="65">
        <v>6</v>
      </c>
      <c r="J13" s="66" t="s">
        <v>94</v>
      </c>
      <c r="K13" s="72" t="s">
        <v>104</v>
      </c>
      <c r="L13" s="70" t="s">
        <v>54</v>
      </c>
      <c r="M13" s="75"/>
      <c r="N13" s="75">
        <v>45941</v>
      </c>
    </row>
  </sheetData>
  <conditionalFormatting sqref="L5:L13">
    <cfRule type="cellIs" dxfId="128" priority="1" operator="equal">
      <formula>"Inactivo"</formula>
    </cfRule>
    <cfRule type="cellIs" dxfId="127" priority="2" operator="equal">
      <formula>"Cerrado"</formula>
    </cfRule>
    <cfRule type="cellIs" dxfId="126" priority="3" operator="equal">
      <formula>"Controlado"</formula>
    </cfRule>
    <cfRule type="cellIs" dxfId="125" priority="4" operator="equal">
      <formula>"Activo"</formula>
    </cfRule>
  </conditionalFormatting>
  <conditionalFormatting sqref="I5:I13">
    <cfRule type="cellIs" dxfId="124" priority="8" operator="greaterThan">
      <formula>4</formula>
    </cfRule>
    <cfRule type="cellIs" dxfId="123" priority="9" operator="between">
      <formula>3</formula>
      <formula>4</formula>
    </cfRule>
    <cfRule type="cellIs" dxfId="122" priority="10" operator="between">
      <formula>1</formula>
      <formula>2</formula>
    </cfRule>
  </conditionalFormatting>
  <conditionalFormatting sqref="L6">
    <cfRule type="cellIs" dxfId="121" priority="5" operator="greaterThan">
      <formula>4</formula>
    </cfRule>
    <cfRule type="cellIs" dxfId="120" priority="6" operator="between">
      <formula>3</formula>
      <formula>4</formula>
    </cfRule>
    <cfRule type="cellIs" dxfId="119" priority="7" operator="between">
      <formula>1</formula>
      <formula>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74E06-EA42-47DA-90D7-6BCFAF923D65}">
  <sheetPr filterMode="1"/>
  <dimension ref="B3:M14"/>
  <sheetViews>
    <sheetView zoomScale="115" zoomScaleNormal="115" workbookViewId="0">
      <selection activeCell="J23" sqref="J23"/>
    </sheetView>
  </sheetViews>
  <sheetFormatPr baseColWidth="10" defaultRowHeight="12.75" x14ac:dyDescent="0.2"/>
  <cols>
    <col min="2" max="2" width="4.28515625" bestFit="1" customWidth="1"/>
    <col min="3" max="3" width="37.7109375" customWidth="1"/>
    <col min="4" max="4" width="10" customWidth="1"/>
    <col min="5" max="5" width="11.140625" customWidth="1"/>
    <col min="6" max="6" width="8.85546875" customWidth="1"/>
    <col min="7" max="7" width="7.5703125" customWidth="1"/>
    <col min="8" max="8" width="7.85546875" customWidth="1"/>
    <col min="9" max="9" width="8.7109375" customWidth="1"/>
    <col min="10" max="10" width="13" customWidth="1"/>
    <col min="11" max="11" width="46.28515625" customWidth="1"/>
    <col min="12" max="12" width="11.42578125" customWidth="1"/>
    <col min="13" max="13" width="17.42578125" customWidth="1"/>
  </cols>
  <sheetData>
    <row r="3" spans="2:13" ht="33.75" x14ac:dyDescent="0.2">
      <c r="B3" s="46" t="s">
        <v>47</v>
      </c>
      <c r="C3" s="88" t="s">
        <v>48</v>
      </c>
      <c r="D3" s="88" t="s">
        <v>49</v>
      </c>
      <c r="E3" s="88" t="s">
        <v>3</v>
      </c>
      <c r="F3" s="88" t="s">
        <v>15</v>
      </c>
      <c r="G3" s="88" t="s">
        <v>80</v>
      </c>
      <c r="H3" s="88" t="s">
        <v>79</v>
      </c>
      <c r="I3" s="88" t="s">
        <v>50</v>
      </c>
      <c r="J3" s="88" t="s">
        <v>52</v>
      </c>
      <c r="K3" s="89" t="s">
        <v>88</v>
      </c>
      <c r="L3" s="89" t="s">
        <v>51</v>
      </c>
      <c r="M3" s="89" t="s">
        <v>53</v>
      </c>
    </row>
    <row r="4" spans="2:13" ht="25.5" hidden="1" x14ac:dyDescent="0.2">
      <c r="B4" s="51" t="s">
        <v>34</v>
      </c>
      <c r="C4" s="47" t="s">
        <v>55</v>
      </c>
      <c r="D4" s="47" t="s">
        <v>56</v>
      </c>
      <c r="E4" s="48" t="s">
        <v>19</v>
      </c>
      <c r="F4" s="48">
        <v>3</v>
      </c>
      <c r="G4" s="48" t="s">
        <v>19</v>
      </c>
      <c r="H4" s="48">
        <v>3</v>
      </c>
      <c r="I4" s="49">
        <v>9</v>
      </c>
      <c r="J4" s="54" t="s">
        <v>94</v>
      </c>
      <c r="K4" s="58" t="s">
        <v>89</v>
      </c>
      <c r="L4" s="59" t="s">
        <v>59</v>
      </c>
      <c r="M4" s="74" t="s">
        <v>107</v>
      </c>
    </row>
    <row r="5" spans="2:13" ht="38.25" hidden="1" x14ac:dyDescent="0.2">
      <c r="B5" s="51" t="s">
        <v>71</v>
      </c>
      <c r="C5" s="54" t="s">
        <v>82</v>
      </c>
      <c r="D5" s="55" t="s">
        <v>112</v>
      </c>
      <c r="E5" s="62" t="s">
        <v>18</v>
      </c>
      <c r="F5" s="63">
        <v>2</v>
      </c>
      <c r="G5" s="62" t="s">
        <v>18</v>
      </c>
      <c r="H5" s="63">
        <v>2</v>
      </c>
      <c r="I5" s="63">
        <v>4</v>
      </c>
      <c r="J5" s="54" t="s">
        <v>94</v>
      </c>
      <c r="K5" s="71" t="s">
        <v>100</v>
      </c>
      <c r="L5" s="69" t="s">
        <v>59</v>
      </c>
      <c r="M5" s="74" t="s">
        <v>107</v>
      </c>
    </row>
    <row r="6" spans="2:13" ht="38.25" hidden="1" x14ac:dyDescent="0.2">
      <c r="B6" s="51" t="s">
        <v>75</v>
      </c>
      <c r="C6" s="54" t="s">
        <v>84</v>
      </c>
      <c r="D6" s="47" t="s">
        <v>56</v>
      </c>
      <c r="E6" s="62" t="s">
        <v>18</v>
      </c>
      <c r="F6" s="63">
        <v>2</v>
      </c>
      <c r="G6" s="62" t="s">
        <v>19</v>
      </c>
      <c r="H6" s="63">
        <v>3</v>
      </c>
      <c r="I6" s="63">
        <v>6</v>
      </c>
      <c r="J6" s="54" t="s">
        <v>94</v>
      </c>
      <c r="K6" s="71" t="s">
        <v>101</v>
      </c>
      <c r="L6" s="69" t="s">
        <v>59</v>
      </c>
      <c r="M6" s="74" t="s">
        <v>107</v>
      </c>
    </row>
    <row r="7" spans="2:13" ht="38.25" hidden="1" x14ac:dyDescent="0.2">
      <c r="B7" s="51" t="s">
        <v>98</v>
      </c>
      <c r="C7" s="54" t="s">
        <v>86</v>
      </c>
      <c r="D7" s="55" t="s">
        <v>112</v>
      </c>
      <c r="E7" s="62" t="s">
        <v>18</v>
      </c>
      <c r="F7" s="63">
        <v>2</v>
      </c>
      <c r="G7" s="62" t="s">
        <v>19</v>
      </c>
      <c r="H7" s="63">
        <v>3</v>
      </c>
      <c r="I7" s="63">
        <v>6</v>
      </c>
      <c r="J7" s="47" t="s">
        <v>81</v>
      </c>
      <c r="K7" s="71" t="s">
        <v>103</v>
      </c>
      <c r="L7" s="69" t="s">
        <v>59</v>
      </c>
      <c r="M7" s="74" t="s">
        <v>107</v>
      </c>
    </row>
    <row r="8" spans="2:13" ht="25.5" x14ac:dyDescent="0.2">
      <c r="B8" s="51" t="s">
        <v>37</v>
      </c>
      <c r="C8" s="47" t="s">
        <v>58</v>
      </c>
      <c r="D8" s="47" t="s">
        <v>112</v>
      </c>
      <c r="E8" s="48" t="s">
        <v>19</v>
      </c>
      <c r="F8" s="48">
        <v>3</v>
      </c>
      <c r="G8" s="48" t="s">
        <v>19</v>
      </c>
      <c r="H8" s="48">
        <v>3</v>
      </c>
      <c r="I8" s="49">
        <v>9</v>
      </c>
      <c r="J8" s="54" t="s">
        <v>96</v>
      </c>
      <c r="K8" s="58" t="s">
        <v>90</v>
      </c>
      <c r="L8" s="90" t="s">
        <v>113</v>
      </c>
      <c r="M8" s="74"/>
    </row>
    <row r="9" spans="2:13" ht="25.5" x14ac:dyDescent="0.2">
      <c r="B9" s="51" t="s">
        <v>40</v>
      </c>
      <c r="C9" s="47" t="s">
        <v>63</v>
      </c>
      <c r="D9" s="47" t="s">
        <v>112</v>
      </c>
      <c r="E9" s="48" t="s">
        <v>18</v>
      </c>
      <c r="F9" s="48">
        <v>2</v>
      </c>
      <c r="G9" s="48" t="s">
        <v>18</v>
      </c>
      <c r="H9" s="48">
        <v>2</v>
      </c>
      <c r="I9" s="49">
        <v>4</v>
      </c>
      <c r="J9" s="54" t="s">
        <v>96</v>
      </c>
      <c r="K9" s="58" t="s">
        <v>91</v>
      </c>
      <c r="L9" s="90" t="s">
        <v>113</v>
      </c>
      <c r="M9" s="74"/>
    </row>
    <row r="10" spans="2:13" ht="25.5" hidden="1" x14ac:dyDescent="0.2">
      <c r="B10" s="51" t="s">
        <v>43</v>
      </c>
      <c r="C10" s="47" t="s">
        <v>68</v>
      </c>
      <c r="D10" s="47" t="s">
        <v>65</v>
      </c>
      <c r="E10" s="48" t="s">
        <v>19</v>
      </c>
      <c r="F10" s="48">
        <v>2</v>
      </c>
      <c r="G10" s="48" t="s">
        <v>19</v>
      </c>
      <c r="H10" s="48">
        <v>3</v>
      </c>
      <c r="I10" s="49">
        <v>6</v>
      </c>
      <c r="J10" s="47" t="s">
        <v>81</v>
      </c>
      <c r="K10" s="58" t="s">
        <v>69</v>
      </c>
      <c r="L10" s="92" t="s">
        <v>59</v>
      </c>
      <c r="M10" s="74"/>
    </row>
    <row r="11" spans="2:13" ht="38.25" x14ac:dyDescent="0.2">
      <c r="B11" s="56" t="s">
        <v>70</v>
      </c>
      <c r="C11" s="54" t="s">
        <v>78</v>
      </c>
      <c r="D11" s="47" t="s">
        <v>56</v>
      </c>
      <c r="E11" s="53" t="s">
        <v>19</v>
      </c>
      <c r="F11" s="53">
        <v>3</v>
      </c>
      <c r="G11" s="53" t="s">
        <v>19</v>
      </c>
      <c r="H11" s="53">
        <v>3</v>
      </c>
      <c r="I11" s="57">
        <v>9</v>
      </c>
      <c r="J11" s="58" t="s">
        <v>94</v>
      </c>
      <c r="K11" s="58" t="s">
        <v>123</v>
      </c>
      <c r="L11" s="90" t="s">
        <v>113</v>
      </c>
      <c r="M11" s="61"/>
    </row>
    <row r="12" spans="2:13" ht="25.5" x14ac:dyDescent="0.2">
      <c r="B12" s="51" t="s">
        <v>117</v>
      </c>
      <c r="C12" s="85" t="s">
        <v>114</v>
      </c>
      <c r="D12" s="47" t="s">
        <v>56</v>
      </c>
      <c r="E12" s="63" t="s">
        <v>18</v>
      </c>
      <c r="F12" s="63">
        <v>2</v>
      </c>
      <c r="G12" s="63" t="s">
        <v>19</v>
      </c>
      <c r="H12" s="63">
        <v>2</v>
      </c>
      <c r="I12" s="63">
        <v>4</v>
      </c>
      <c r="J12" s="54" t="s">
        <v>94</v>
      </c>
      <c r="K12" s="71" t="s">
        <v>121</v>
      </c>
      <c r="L12" s="90" t="s">
        <v>113</v>
      </c>
      <c r="M12" s="86"/>
    </row>
    <row r="13" spans="2:13" ht="25.5" x14ac:dyDescent="0.2">
      <c r="B13" s="51" t="s">
        <v>118</v>
      </c>
      <c r="C13" s="85" t="s">
        <v>115</v>
      </c>
      <c r="D13" s="47" t="s">
        <v>56</v>
      </c>
      <c r="E13" s="63" t="s">
        <v>18</v>
      </c>
      <c r="F13" s="63">
        <v>3</v>
      </c>
      <c r="G13" s="63" t="s">
        <v>18</v>
      </c>
      <c r="H13" s="63">
        <v>3</v>
      </c>
      <c r="I13" s="63">
        <v>9</v>
      </c>
      <c r="J13" s="54" t="s">
        <v>94</v>
      </c>
      <c r="K13" s="71" t="s">
        <v>122</v>
      </c>
      <c r="L13" s="90" t="s">
        <v>113</v>
      </c>
      <c r="M13" s="86"/>
    </row>
    <row r="14" spans="2:13" ht="25.5" x14ac:dyDescent="0.2">
      <c r="B14" s="52" t="s">
        <v>119</v>
      </c>
      <c r="C14" s="50" t="s">
        <v>116</v>
      </c>
      <c r="D14" s="50" t="s">
        <v>56</v>
      </c>
      <c r="E14" s="65" t="s">
        <v>19</v>
      </c>
      <c r="F14" s="65">
        <v>2</v>
      </c>
      <c r="G14" s="65" t="s">
        <v>19</v>
      </c>
      <c r="H14" s="65">
        <v>3</v>
      </c>
      <c r="I14" s="65">
        <v>6</v>
      </c>
      <c r="J14" s="66" t="s">
        <v>94</v>
      </c>
      <c r="K14" s="72" t="s">
        <v>120</v>
      </c>
      <c r="L14" s="91" t="s">
        <v>113</v>
      </c>
      <c r="M14" s="87"/>
    </row>
  </sheetData>
  <autoFilter ref="B3:M14" xr:uid="{1BF74E06-EA42-47DA-90D7-6BCFAF923D65}">
    <filterColumn colId="10">
      <filters>
        <filter val="Activo"/>
      </filters>
    </filterColumn>
    <sortState xmlns:xlrd2="http://schemas.microsoft.com/office/spreadsheetml/2017/richdata2" ref="B4:M14">
      <sortCondition descending="1" ref="L3:L14"/>
    </sortState>
  </autoFilter>
  <conditionalFormatting sqref="I3:I14">
    <cfRule type="cellIs" dxfId="118" priority="8" operator="greaterThan">
      <formula>4</formula>
    </cfRule>
    <cfRule type="cellIs" dxfId="117" priority="9" operator="between">
      <formula>3</formula>
      <formula>4</formula>
    </cfRule>
    <cfRule type="cellIs" dxfId="116" priority="10" operator="between">
      <formula>1</formula>
      <formula>2</formula>
    </cfRule>
  </conditionalFormatting>
  <conditionalFormatting sqref="L4">
    <cfRule type="cellIs" dxfId="115" priority="5" operator="greaterThan">
      <formula>4</formula>
    </cfRule>
    <cfRule type="cellIs" dxfId="114" priority="6" operator="between">
      <formula>3</formula>
      <formula>4</formula>
    </cfRule>
    <cfRule type="cellIs" dxfId="113" priority="7" operator="between">
      <formula>1</formula>
      <formula>2</formula>
    </cfRule>
  </conditionalFormatting>
  <conditionalFormatting sqref="L3:L14">
    <cfRule type="cellIs" dxfId="112" priority="1" operator="equal">
      <formula>"Inactivo"</formula>
    </cfRule>
    <cfRule type="cellIs" dxfId="111" priority="2" operator="equal">
      <formula>"Cerrado"</formula>
    </cfRule>
    <cfRule type="cellIs" dxfId="110" priority="3" operator="equal">
      <formula>"Controlado"</formula>
    </cfRule>
    <cfRule type="cellIs" dxfId="109" priority="4" operator="equal">
      <formula>"Activo"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D78E4-4B37-43E5-B740-BFFFAF799D32}">
  <dimension ref="B2:N13"/>
  <sheetViews>
    <sheetView topLeftCell="A4" workbookViewId="0">
      <selection activeCell="S11" sqref="S11"/>
    </sheetView>
  </sheetViews>
  <sheetFormatPr baseColWidth="10" defaultRowHeight="12.75" x14ac:dyDescent="0.2"/>
  <cols>
    <col min="1" max="1" width="2.42578125" customWidth="1"/>
    <col min="2" max="2" width="4.28515625" bestFit="1" customWidth="1"/>
    <col min="3" max="3" width="33.28515625" customWidth="1"/>
    <col min="5" max="6" width="9.28515625" customWidth="1"/>
    <col min="7" max="7" width="8.85546875" bestFit="1" customWidth="1"/>
    <col min="8" max="8" width="8.7109375" bestFit="1" customWidth="1"/>
    <col min="9" max="9" width="9.42578125" bestFit="1" customWidth="1"/>
    <col min="10" max="10" width="14.42578125" hidden="1" customWidth="1"/>
    <col min="11" max="11" width="36" customWidth="1"/>
    <col min="13" max="13" width="15.28515625" hidden="1" customWidth="1"/>
  </cols>
  <sheetData>
    <row r="2" spans="2:14" ht="38.25" x14ac:dyDescent="0.2">
      <c r="B2" s="46" t="s">
        <v>47</v>
      </c>
      <c r="C2" s="46" t="s">
        <v>48</v>
      </c>
      <c r="D2" s="46" t="s">
        <v>49</v>
      </c>
      <c r="E2" s="46" t="s">
        <v>3</v>
      </c>
      <c r="F2" s="46" t="s">
        <v>15</v>
      </c>
      <c r="G2" s="46" t="s">
        <v>80</v>
      </c>
      <c r="H2" s="46" t="s">
        <v>79</v>
      </c>
      <c r="I2" s="46" t="s">
        <v>50</v>
      </c>
      <c r="J2" s="46" t="s">
        <v>52</v>
      </c>
      <c r="K2" s="67" t="s">
        <v>88</v>
      </c>
      <c r="L2" s="67" t="s">
        <v>51</v>
      </c>
      <c r="M2" s="67" t="s">
        <v>53</v>
      </c>
      <c r="N2" s="83" t="s">
        <v>108</v>
      </c>
    </row>
    <row r="3" spans="2:14" ht="38.25" x14ac:dyDescent="0.2">
      <c r="B3" s="51" t="s">
        <v>34</v>
      </c>
      <c r="C3" s="47" t="s">
        <v>55</v>
      </c>
      <c r="D3" s="47" t="s">
        <v>56</v>
      </c>
      <c r="E3" s="48" t="s">
        <v>19</v>
      </c>
      <c r="F3" s="48">
        <v>3</v>
      </c>
      <c r="G3" s="48" t="s">
        <v>19</v>
      </c>
      <c r="H3" s="48">
        <v>3</v>
      </c>
      <c r="I3" s="49">
        <v>9</v>
      </c>
      <c r="J3" s="54" t="s">
        <v>94</v>
      </c>
      <c r="K3" s="58" t="s">
        <v>89</v>
      </c>
      <c r="L3" s="59" t="s">
        <v>59</v>
      </c>
      <c r="M3" s="74" t="s">
        <v>107</v>
      </c>
      <c r="N3" s="75">
        <v>45941</v>
      </c>
    </row>
    <row r="4" spans="2:14" ht="38.25" x14ac:dyDescent="0.2">
      <c r="B4" s="51" t="s">
        <v>37</v>
      </c>
      <c r="C4" s="47" t="s">
        <v>58</v>
      </c>
      <c r="D4" s="47" t="s">
        <v>112</v>
      </c>
      <c r="E4" s="48" t="s">
        <v>19</v>
      </c>
      <c r="F4" s="48">
        <v>3</v>
      </c>
      <c r="G4" s="48" t="s">
        <v>19</v>
      </c>
      <c r="H4" s="48">
        <v>3</v>
      </c>
      <c r="I4" s="49">
        <v>9</v>
      </c>
      <c r="J4" s="54" t="s">
        <v>96</v>
      </c>
      <c r="K4" s="58" t="s">
        <v>90</v>
      </c>
      <c r="L4" s="59" t="s">
        <v>59</v>
      </c>
      <c r="M4" s="74" t="s">
        <v>107</v>
      </c>
      <c r="N4" s="82">
        <v>45941</v>
      </c>
    </row>
    <row r="5" spans="2:14" ht="38.25" x14ac:dyDescent="0.2">
      <c r="B5" s="51" t="s">
        <v>40</v>
      </c>
      <c r="C5" s="47" t="s">
        <v>63</v>
      </c>
      <c r="D5" s="47" t="s">
        <v>112</v>
      </c>
      <c r="E5" s="48" t="s">
        <v>18</v>
      </c>
      <c r="F5" s="48">
        <v>2</v>
      </c>
      <c r="G5" s="48" t="s">
        <v>18</v>
      </c>
      <c r="H5" s="48">
        <v>2</v>
      </c>
      <c r="I5" s="49">
        <v>4</v>
      </c>
      <c r="J5" s="54" t="s">
        <v>96</v>
      </c>
      <c r="K5" s="58" t="s">
        <v>91</v>
      </c>
      <c r="L5" s="59" t="s">
        <v>59</v>
      </c>
      <c r="M5" s="74" t="s">
        <v>107</v>
      </c>
      <c r="N5" s="75">
        <v>45941</v>
      </c>
    </row>
    <row r="6" spans="2:14" ht="25.5" x14ac:dyDescent="0.2">
      <c r="B6" s="56" t="s">
        <v>70</v>
      </c>
      <c r="C6" s="54" t="s">
        <v>78</v>
      </c>
      <c r="D6" s="47" t="s">
        <v>56</v>
      </c>
      <c r="E6" s="53" t="s">
        <v>19</v>
      </c>
      <c r="F6" s="53">
        <v>3</v>
      </c>
      <c r="G6" s="53" t="s">
        <v>19</v>
      </c>
      <c r="H6" s="53">
        <v>3</v>
      </c>
      <c r="I6" s="57">
        <v>9</v>
      </c>
      <c r="J6" s="58" t="s">
        <v>94</v>
      </c>
      <c r="K6" s="60" t="s">
        <v>136</v>
      </c>
      <c r="L6" s="59" t="s">
        <v>59</v>
      </c>
      <c r="M6" s="61"/>
      <c r="N6" s="86"/>
    </row>
    <row r="7" spans="2:14" ht="38.25" x14ac:dyDescent="0.2">
      <c r="B7" s="51" t="s">
        <v>71</v>
      </c>
      <c r="C7" s="54" t="s">
        <v>82</v>
      </c>
      <c r="D7" s="55" t="s">
        <v>112</v>
      </c>
      <c r="E7" s="62" t="s">
        <v>18</v>
      </c>
      <c r="F7" s="63">
        <v>2</v>
      </c>
      <c r="G7" s="62" t="s">
        <v>18</v>
      </c>
      <c r="H7" s="63">
        <v>2</v>
      </c>
      <c r="I7" s="63">
        <v>4</v>
      </c>
      <c r="J7" s="54" t="s">
        <v>94</v>
      </c>
      <c r="K7" s="71" t="s">
        <v>100</v>
      </c>
      <c r="L7" s="94" t="s">
        <v>59</v>
      </c>
      <c r="M7" s="74" t="s">
        <v>107</v>
      </c>
      <c r="N7" s="82">
        <v>45941</v>
      </c>
    </row>
    <row r="8" spans="2:14" ht="38.25" x14ac:dyDescent="0.2">
      <c r="B8" s="51" t="s">
        <v>75</v>
      </c>
      <c r="C8" s="54" t="s">
        <v>84</v>
      </c>
      <c r="D8" s="47" t="s">
        <v>56</v>
      </c>
      <c r="E8" s="62" t="s">
        <v>18</v>
      </c>
      <c r="F8" s="63">
        <v>2</v>
      </c>
      <c r="G8" s="62" t="s">
        <v>19</v>
      </c>
      <c r="H8" s="63">
        <v>3</v>
      </c>
      <c r="I8" s="63">
        <v>6</v>
      </c>
      <c r="J8" s="54" t="s">
        <v>94</v>
      </c>
      <c r="K8" s="71" t="s">
        <v>101</v>
      </c>
      <c r="L8" s="94" t="s">
        <v>59</v>
      </c>
      <c r="M8" s="74" t="s">
        <v>107</v>
      </c>
      <c r="N8" s="75">
        <v>45941</v>
      </c>
    </row>
    <row r="9" spans="2:14" ht="38.25" x14ac:dyDescent="0.2">
      <c r="B9" s="51" t="s">
        <v>98</v>
      </c>
      <c r="C9" s="54" t="s">
        <v>86</v>
      </c>
      <c r="D9" s="55" t="s">
        <v>112</v>
      </c>
      <c r="E9" s="62" t="s">
        <v>18</v>
      </c>
      <c r="F9" s="63">
        <v>2</v>
      </c>
      <c r="G9" s="62" t="s">
        <v>19</v>
      </c>
      <c r="H9" s="63">
        <v>3</v>
      </c>
      <c r="I9" s="63">
        <v>6</v>
      </c>
      <c r="J9" s="47" t="s">
        <v>81</v>
      </c>
      <c r="K9" s="71" t="s">
        <v>103</v>
      </c>
      <c r="L9" s="94" t="s">
        <v>59</v>
      </c>
      <c r="M9" s="74" t="s">
        <v>107</v>
      </c>
      <c r="N9" s="86"/>
    </row>
    <row r="10" spans="2:14" ht="38.25" x14ac:dyDescent="0.2">
      <c r="B10" s="51" t="s">
        <v>36</v>
      </c>
      <c r="C10" s="47" t="s">
        <v>57</v>
      </c>
      <c r="D10" s="47" t="s">
        <v>56</v>
      </c>
      <c r="E10" s="48" t="s">
        <v>19</v>
      </c>
      <c r="F10" s="48">
        <v>2</v>
      </c>
      <c r="G10" s="48" t="s">
        <v>19</v>
      </c>
      <c r="H10" s="48">
        <v>3</v>
      </c>
      <c r="I10" s="49">
        <v>6</v>
      </c>
      <c r="J10" s="54" t="s">
        <v>95</v>
      </c>
      <c r="K10" s="60" t="s">
        <v>137</v>
      </c>
      <c r="L10" s="59" t="s">
        <v>138</v>
      </c>
      <c r="M10" s="61"/>
      <c r="N10" s="85"/>
    </row>
    <row r="11" spans="2:14" ht="38.25" x14ac:dyDescent="0.2">
      <c r="B11" s="51" t="s">
        <v>125</v>
      </c>
      <c r="C11" s="54" t="s">
        <v>128</v>
      </c>
      <c r="D11" s="47" t="s">
        <v>133</v>
      </c>
      <c r="E11" s="62" t="s">
        <v>19</v>
      </c>
      <c r="F11" s="63">
        <v>3</v>
      </c>
      <c r="G11" s="62" t="s">
        <v>19</v>
      </c>
      <c r="H11" s="63">
        <v>3</v>
      </c>
      <c r="I11" s="63">
        <v>9</v>
      </c>
      <c r="J11" s="54" t="s">
        <v>95</v>
      </c>
      <c r="K11" s="71" t="s">
        <v>134</v>
      </c>
      <c r="L11" s="59" t="s">
        <v>138</v>
      </c>
      <c r="M11" s="75"/>
    </row>
    <row r="12" spans="2:14" ht="38.25" x14ac:dyDescent="0.2">
      <c r="B12" s="51" t="s">
        <v>126</v>
      </c>
      <c r="C12" s="54" t="s">
        <v>129</v>
      </c>
      <c r="D12" s="47" t="s">
        <v>133</v>
      </c>
      <c r="E12" s="62" t="s">
        <v>19</v>
      </c>
      <c r="F12" s="63">
        <v>3</v>
      </c>
      <c r="G12" s="62" t="s">
        <v>19</v>
      </c>
      <c r="H12" s="63">
        <v>3</v>
      </c>
      <c r="I12" s="63">
        <v>9</v>
      </c>
      <c r="J12" s="54" t="s">
        <v>95</v>
      </c>
      <c r="K12" s="71" t="s">
        <v>134</v>
      </c>
      <c r="L12" s="59" t="s">
        <v>138</v>
      </c>
      <c r="M12" s="75"/>
      <c r="N12" s="85"/>
    </row>
    <row r="13" spans="2:14" ht="25.5" x14ac:dyDescent="0.2">
      <c r="B13" s="51" t="s">
        <v>127</v>
      </c>
      <c r="C13" s="54" t="s">
        <v>130</v>
      </c>
      <c r="D13" s="47" t="s">
        <v>56</v>
      </c>
      <c r="E13" s="62" t="s">
        <v>18</v>
      </c>
      <c r="F13" s="63">
        <v>2</v>
      </c>
      <c r="G13" s="62" t="s">
        <v>19</v>
      </c>
      <c r="H13" s="63">
        <v>3</v>
      </c>
      <c r="I13" s="63">
        <v>6</v>
      </c>
      <c r="J13" s="54" t="s">
        <v>95</v>
      </c>
      <c r="K13" s="71" t="s">
        <v>135</v>
      </c>
      <c r="L13" s="59" t="s">
        <v>59</v>
      </c>
      <c r="M13" s="75"/>
      <c r="N13" s="85"/>
    </row>
  </sheetData>
  <autoFilter ref="B2:N13" xr:uid="{F34D78E4-4B37-43E5-B740-BFFFAF799D32}">
    <sortState xmlns:xlrd2="http://schemas.microsoft.com/office/spreadsheetml/2017/richdata2" ref="B3:N13">
      <sortCondition descending="1" ref="L2:L13"/>
    </sortState>
  </autoFilter>
  <conditionalFormatting sqref="I2:I10">
    <cfRule type="cellIs" dxfId="108" priority="28" operator="greaterThan">
      <formula>4</formula>
    </cfRule>
    <cfRule type="cellIs" dxfId="107" priority="29" operator="between">
      <formula>3</formula>
      <formula>4</formula>
    </cfRule>
    <cfRule type="cellIs" dxfId="106" priority="30" operator="between">
      <formula>1</formula>
      <formula>2</formula>
    </cfRule>
  </conditionalFormatting>
  <conditionalFormatting sqref="L3:L4">
    <cfRule type="cellIs" dxfId="105" priority="25" operator="greaterThan">
      <formula>4</formula>
    </cfRule>
    <cfRule type="cellIs" dxfId="104" priority="26" operator="between">
      <formula>3</formula>
      <formula>4</formula>
    </cfRule>
    <cfRule type="cellIs" dxfId="103" priority="27" operator="between">
      <formula>1</formula>
      <formula>2</formula>
    </cfRule>
  </conditionalFormatting>
  <conditionalFormatting sqref="L2:L10">
    <cfRule type="cellIs" dxfId="102" priority="21" operator="equal">
      <formula>"Inactivo"</formula>
    </cfRule>
    <cfRule type="cellIs" dxfId="101" priority="22" operator="equal">
      <formula>"Cerrado"</formula>
    </cfRule>
    <cfRule type="cellIs" dxfId="100" priority="23" operator="equal">
      <formula>"Controlado"</formula>
    </cfRule>
    <cfRule type="cellIs" dxfId="99" priority="24" operator="equal">
      <formula>"Activo"</formula>
    </cfRule>
  </conditionalFormatting>
  <conditionalFormatting sqref="L4">
    <cfRule type="cellIs" dxfId="98" priority="20" operator="equal">
      <formula>"Inactivo"</formula>
    </cfRule>
  </conditionalFormatting>
  <conditionalFormatting sqref="I11:I13">
    <cfRule type="cellIs" dxfId="97" priority="17" operator="greaterThan">
      <formula>4</formula>
    </cfRule>
    <cfRule type="cellIs" dxfId="96" priority="18" operator="between">
      <formula>3</formula>
      <formula>4</formula>
    </cfRule>
    <cfRule type="cellIs" dxfId="95" priority="19" operator="between">
      <formula>1</formula>
      <formula>2</formula>
    </cfRule>
  </conditionalFormatting>
  <conditionalFormatting sqref="L11:L13">
    <cfRule type="cellIs" dxfId="94" priority="1" operator="equal">
      <formula>"Inactivo"</formula>
    </cfRule>
    <cfRule type="cellIs" dxfId="93" priority="2" operator="equal">
      <formula>"Cerrado"</formula>
    </cfRule>
    <cfRule type="cellIs" dxfId="92" priority="3" operator="equal">
      <formula>"Controlado"</formula>
    </cfRule>
    <cfRule type="cellIs" dxfId="91" priority="4" operator="equal">
      <formula>"Activo"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EC0A-D7BD-4B59-93F3-73F58343F1E7}">
  <sheetPr filterMode="1"/>
  <dimension ref="A5:M20"/>
  <sheetViews>
    <sheetView workbookViewId="0">
      <selection activeCell="M19" sqref="M19"/>
    </sheetView>
  </sheetViews>
  <sheetFormatPr baseColWidth="10" defaultRowHeight="12.75" x14ac:dyDescent="0.2"/>
  <cols>
    <col min="1" max="1" width="4.28515625" customWidth="1"/>
    <col min="2" max="2" width="11.42578125" style="95"/>
    <col min="3" max="3" width="33.7109375" customWidth="1"/>
    <col min="5" max="5" width="11.42578125" style="97"/>
    <col min="6" max="6" width="12" style="98" customWidth="1"/>
    <col min="7" max="8" width="11.42578125" style="98"/>
    <col min="9" max="9" width="14.140625" bestFit="1" customWidth="1"/>
    <col min="10" max="10" width="19.42578125" hidden="1" customWidth="1"/>
    <col min="11" max="11" width="37" customWidth="1"/>
    <col min="13" max="13" width="36.140625" customWidth="1"/>
  </cols>
  <sheetData>
    <row r="5" spans="2:13" ht="78" customHeight="1" x14ac:dyDescent="0.2">
      <c r="B5" s="46" t="s">
        <v>47</v>
      </c>
      <c r="C5" s="46" t="s">
        <v>48</v>
      </c>
      <c r="D5" s="46" t="s">
        <v>49</v>
      </c>
      <c r="E5" s="46" t="s">
        <v>3</v>
      </c>
      <c r="F5" s="46" t="s">
        <v>15</v>
      </c>
      <c r="G5" s="46" t="s">
        <v>80</v>
      </c>
      <c r="H5" s="46" t="s">
        <v>79</v>
      </c>
      <c r="I5" s="46" t="s">
        <v>50</v>
      </c>
      <c r="J5" s="100" t="s">
        <v>52</v>
      </c>
      <c r="K5" s="46" t="s">
        <v>88</v>
      </c>
      <c r="L5" s="46" t="s">
        <v>51</v>
      </c>
      <c r="M5" s="99" t="s">
        <v>156</v>
      </c>
    </row>
    <row r="6" spans="2:13" ht="38.25" hidden="1" x14ac:dyDescent="0.2">
      <c r="B6" s="51" t="s">
        <v>34</v>
      </c>
      <c r="C6" s="47" t="s">
        <v>55</v>
      </c>
      <c r="D6" s="47" t="s">
        <v>56</v>
      </c>
      <c r="E6" s="48" t="s">
        <v>19</v>
      </c>
      <c r="F6" s="48">
        <v>3</v>
      </c>
      <c r="G6" s="48" t="s">
        <v>19</v>
      </c>
      <c r="H6" s="48">
        <v>3</v>
      </c>
      <c r="I6" s="49">
        <v>9</v>
      </c>
      <c r="J6" s="54" t="s">
        <v>94</v>
      </c>
      <c r="K6" s="58" t="s">
        <v>89</v>
      </c>
      <c r="L6" s="59" t="s">
        <v>59</v>
      </c>
    </row>
    <row r="7" spans="2:13" ht="38.25" hidden="1" x14ac:dyDescent="0.2">
      <c r="B7" s="51" t="s">
        <v>37</v>
      </c>
      <c r="C7" s="47" t="s">
        <v>58</v>
      </c>
      <c r="D7" s="47" t="s">
        <v>112</v>
      </c>
      <c r="E7" s="48" t="s">
        <v>19</v>
      </c>
      <c r="F7" s="48">
        <v>3</v>
      </c>
      <c r="G7" s="48" t="s">
        <v>19</v>
      </c>
      <c r="H7" s="48">
        <v>3</v>
      </c>
      <c r="I7" s="49">
        <v>9</v>
      </c>
      <c r="J7" s="54" t="s">
        <v>96</v>
      </c>
      <c r="K7" s="58" t="s">
        <v>90</v>
      </c>
      <c r="L7" s="59" t="s">
        <v>59</v>
      </c>
    </row>
    <row r="8" spans="2:13" ht="25.5" hidden="1" x14ac:dyDescent="0.2">
      <c r="B8" s="51" t="s">
        <v>40</v>
      </c>
      <c r="C8" s="47" t="s">
        <v>63</v>
      </c>
      <c r="D8" s="47" t="s">
        <v>112</v>
      </c>
      <c r="E8" s="48" t="s">
        <v>18</v>
      </c>
      <c r="F8" s="48">
        <v>2</v>
      </c>
      <c r="G8" s="48" t="s">
        <v>18</v>
      </c>
      <c r="H8" s="48">
        <v>2</v>
      </c>
      <c r="I8" s="49">
        <v>4</v>
      </c>
      <c r="J8" s="54" t="s">
        <v>96</v>
      </c>
      <c r="K8" s="58" t="s">
        <v>91</v>
      </c>
      <c r="L8" s="59" t="s">
        <v>59</v>
      </c>
    </row>
    <row r="9" spans="2:13" ht="25.5" hidden="1" x14ac:dyDescent="0.2">
      <c r="B9" s="56" t="s">
        <v>70</v>
      </c>
      <c r="C9" s="54" t="s">
        <v>78</v>
      </c>
      <c r="D9" s="47" t="s">
        <v>56</v>
      </c>
      <c r="E9" s="53" t="s">
        <v>19</v>
      </c>
      <c r="F9" s="53">
        <v>3</v>
      </c>
      <c r="G9" s="53" t="s">
        <v>19</v>
      </c>
      <c r="H9" s="53">
        <v>3</v>
      </c>
      <c r="I9" s="57">
        <v>9</v>
      </c>
      <c r="J9" s="58" t="s">
        <v>94</v>
      </c>
      <c r="K9" s="60"/>
      <c r="L9" s="59" t="s">
        <v>59</v>
      </c>
    </row>
    <row r="10" spans="2:13" ht="38.25" hidden="1" x14ac:dyDescent="0.2">
      <c r="B10" s="51" t="s">
        <v>71</v>
      </c>
      <c r="C10" s="54" t="s">
        <v>82</v>
      </c>
      <c r="D10" s="55" t="s">
        <v>112</v>
      </c>
      <c r="E10" s="62" t="s">
        <v>18</v>
      </c>
      <c r="F10" s="63">
        <v>2</v>
      </c>
      <c r="G10" s="62" t="s">
        <v>18</v>
      </c>
      <c r="H10" s="63">
        <v>2</v>
      </c>
      <c r="I10" s="63">
        <v>4</v>
      </c>
      <c r="J10" s="54" t="s">
        <v>94</v>
      </c>
      <c r="K10" s="71" t="s">
        <v>100</v>
      </c>
      <c r="L10" s="69" t="s">
        <v>59</v>
      </c>
    </row>
    <row r="11" spans="2:13" ht="38.25" hidden="1" x14ac:dyDescent="0.2">
      <c r="B11" s="51" t="s">
        <v>75</v>
      </c>
      <c r="C11" s="54" t="s">
        <v>84</v>
      </c>
      <c r="D11" s="47" t="s">
        <v>56</v>
      </c>
      <c r="E11" s="62" t="s">
        <v>18</v>
      </c>
      <c r="F11" s="63">
        <v>2</v>
      </c>
      <c r="G11" s="62" t="s">
        <v>19</v>
      </c>
      <c r="H11" s="63">
        <v>3</v>
      </c>
      <c r="I11" s="63">
        <v>6</v>
      </c>
      <c r="J11" s="54" t="s">
        <v>94</v>
      </c>
      <c r="K11" s="71" t="s">
        <v>101</v>
      </c>
      <c r="L11" s="69" t="s">
        <v>59</v>
      </c>
    </row>
    <row r="12" spans="2:13" ht="38.25" hidden="1" x14ac:dyDescent="0.2">
      <c r="B12" s="51" t="s">
        <v>98</v>
      </c>
      <c r="C12" s="54" t="s">
        <v>86</v>
      </c>
      <c r="D12" s="55" t="s">
        <v>112</v>
      </c>
      <c r="E12" s="62" t="s">
        <v>18</v>
      </c>
      <c r="F12" s="63">
        <v>2</v>
      </c>
      <c r="G12" s="62" t="s">
        <v>19</v>
      </c>
      <c r="H12" s="63">
        <v>3</v>
      </c>
      <c r="I12" s="63">
        <v>6</v>
      </c>
      <c r="J12" s="47" t="s">
        <v>81</v>
      </c>
      <c r="K12" s="71" t="s">
        <v>103</v>
      </c>
      <c r="L12" s="69" t="s">
        <v>59</v>
      </c>
    </row>
    <row r="13" spans="2:13" ht="25.5" hidden="1" x14ac:dyDescent="0.2">
      <c r="B13" s="51" t="s">
        <v>127</v>
      </c>
      <c r="C13" s="54" t="s">
        <v>130</v>
      </c>
      <c r="D13" s="47" t="s">
        <v>56</v>
      </c>
      <c r="E13" s="62" t="s">
        <v>18</v>
      </c>
      <c r="F13" s="63">
        <v>2</v>
      </c>
      <c r="G13" s="62" t="s">
        <v>19</v>
      </c>
      <c r="H13" s="63">
        <v>3</v>
      </c>
      <c r="I13" s="63">
        <v>6</v>
      </c>
      <c r="J13" s="54" t="s">
        <v>95</v>
      </c>
      <c r="K13" s="71" t="s">
        <v>135</v>
      </c>
      <c r="L13" s="69" t="s">
        <v>59</v>
      </c>
    </row>
    <row r="14" spans="2:13" ht="38.25" hidden="1" x14ac:dyDescent="0.2">
      <c r="B14" s="51" t="s">
        <v>132</v>
      </c>
      <c r="C14" s="54" t="s">
        <v>131</v>
      </c>
      <c r="D14" s="47" t="s">
        <v>112</v>
      </c>
      <c r="E14" s="62" t="s">
        <v>18</v>
      </c>
      <c r="F14" s="63">
        <v>2</v>
      </c>
      <c r="G14" s="62" t="s">
        <v>18</v>
      </c>
      <c r="H14" s="63">
        <v>2</v>
      </c>
      <c r="I14" s="63">
        <v>4</v>
      </c>
      <c r="J14" s="54" t="s">
        <v>81</v>
      </c>
      <c r="K14" s="96" t="s">
        <v>151</v>
      </c>
      <c r="L14" s="69" t="s">
        <v>59</v>
      </c>
    </row>
    <row r="15" spans="2:13" ht="78" customHeight="1" x14ac:dyDescent="0.2">
      <c r="B15" s="46" t="s">
        <v>139</v>
      </c>
      <c r="C15" s="101" t="s">
        <v>141</v>
      </c>
      <c r="D15" s="102" t="s">
        <v>153</v>
      </c>
      <c r="E15" s="103" t="s">
        <v>18</v>
      </c>
      <c r="F15" s="104">
        <v>2</v>
      </c>
      <c r="G15" s="103" t="s">
        <v>19</v>
      </c>
      <c r="H15" s="104">
        <v>3</v>
      </c>
      <c r="I15" s="104">
        <v>6</v>
      </c>
      <c r="J15" s="54" t="s">
        <v>81</v>
      </c>
      <c r="K15" s="105" t="s">
        <v>149</v>
      </c>
      <c r="L15" s="106" t="s">
        <v>59</v>
      </c>
      <c r="M15" s="108"/>
    </row>
    <row r="16" spans="2:13" ht="78" customHeight="1" x14ac:dyDescent="0.2">
      <c r="B16" s="46" t="s">
        <v>140</v>
      </c>
      <c r="C16" s="101" t="s">
        <v>68</v>
      </c>
      <c r="D16" s="102" t="s">
        <v>112</v>
      </c>
      <c r="E16" s="103" t="s">
        <v>19</v>
      </c>
      <c r="F16" s="104">
        <v>3</v>
      </c>
      <c r="G16" s="103" t="s">
        <v>19</v>
      </c>
      <c r="H16" s="104">
        <v>3</v>
      </c>
      <c r="I16" s="104">
        <v>9</v>
      </c>
      <c r="J16" s="54" t="s">
        <v>81</v>
      </c>
      <c r="K16" s="105" t="s">
        <v>154</v>
      </c>
      <c r="L16" s="106" t="s">
        <v>54</v>
      </c>
      <c r="M16" s="108"/>
    </row>
    <row r="17" spans="1:13" ht="78" customHeight="1" x14ac:dyDescent="0.2">
      <c r="B17" s="46" t="s">
        <v>142</v>
      </c>
      <c r="C17" s="101" t="s">
        <v>148</v>
      </c>
      <c r="D17" s="102" t="s">
        <v>133</v>
      </c>
      <c r="E17" s="103" t="s">
        <v>18</v>
      </c>
      <c r="F17" s="104">
        <v>2</v>
      </c>
      <c r="G17" s="103" t="s">
        <v>18</v>
      </c>
      <c r="H17" s="104">
        <v>2</v>
      </c>
      <c r="I17" s="104">
        <v>4</v>
      </c>
      <c r="J17" s="54" t="s">
        <v>81</v>
      </c>
      <c r="K17" s="105" t="s">
        <v>150</v>
      </c>
      <c r="L17" s="106" t="s">
        <v>54</v>
      </c>
      <c r="M17" s="108"/>
    </row>
    <row r="18" spans="1:13" ht="78" customHeight="1" x14ac:dyDescent="0.2">
      <c r="B18" s="46" t="s">
        <v>143</v>
      </c>
      <c r="C18" s="101" t="s">
        <v>144</v>
      </c>
      <c r="D18" s="102" t="s">
        <v>133</v>
      </c>
      <c r="E18" s="103" t="s">
        <v>18</v>
      </c>
      <c r="F18" s="104">
        <v>2</v>
      </c>
      <c r="G18" s="103" t="s">
        <v>19</v>
      </c>
      <c r="H18" s="104">
        <v>3</v>
      </c>
      <c r="I18" s="104">
        <v>6</v>
      </c>
      <c r="J18" s="54" t="s">
        <v>81</v>
      </c>
      <c r="K18" s="105" t="s">
        <v>151</v>
      </c>
      <c r="L18" s="106" t="s">
        <v>54</v>
      </c>
      <c r="M18" s="108"/>
    </row>
    <row r="19" spans="1:13" ht="78" customHeight="1" x14ac:dyDescent="0.2">
      <c r="B19" s="46" t="s">
        <v>145</v>
      </c>
      <c r="C19" s="101" t="s">
        <v>147</v>
      </c>
      <c r="D19" s="102" t="s">
        <v>112</v>
      </c>
      <c r="E19" s="103" t="s">
        <v>18</v>
      </c>
      <c r="F19" s="104">
        <v>2</v>
      </c>
      <c r="G19" s="103" t="s">
        <v>19</v>
      </c>
      <c r="H19" s="104">
        <v>3</v>
      </c>
      <c r="I19" s="104">
        <v>6</v>
      </c>
      <c r="J19" s="54" t="s">
        <v>81</v>
      </c>
      <c r="K19" s="105" t="s">
        <v>155</v>
      </c>
      <c r="L19" s="107" t="s">
        <v>146</v>
      </c>
      <c r="M19" s="105" t="s">
        <v>152</v>
      </c>
    </row>
    <row r="20" spans="1:13" x14ac:dyDescent="0.2">
      <c r="A20" t="s">
        <v>124</v>
      </c>
    </row>
  </sheetData>
  <autoFilter ref="B5:L19" xr:uid="{02B3EC0A-D7BD-4B59-93F3-73F58343F1E7}">
    <filterColumn colId="10">
      <filters>
        <filter val="Activo"/>
      </filters>
    </filterColumn>
  </autoFilter>
  <phoneticPr fontId="11" type="noConversion"/>
  <conditionalFormatting sqref="L15:L18">
    <cfRule type="cellIs" dxfId="90" priority="5" operator="equal">
      <formula>"Inactivo"</formula>
    </cfRule>
    <cfRule type="cellIs" dxfId="89" priority="6" operator="equal">
      <formula>"Cerrado"</formula>
    </cfRule>
    <cfRule type="cellIs" dxfId="88" priority="7" operator="equal">
      <formula>"Controlado"</formula>
    </cfRule>
    <cfRule type="cellIs" dxfId="87" priority="8" operator="equal">
      <formula>"Activo"</formula>
    </cfRule>
  </conditionalFormatting>
  <conditionalFormatting sqref="I5:I12">
    <cfRule type="cellIs" dxfId="86" priority="26" operator="greaterThan">
      <formula>4</formula>
    </cfRule>
    <cfRule type="cellIs" dxfId="85" priority="27" operator="between">
      <formula>3</formula>
      <formula>4</formula>
    </cfRule>
    <cfRule type="cellIs" dxfId="84" priority="28" operator="between">
      <formula>1</formula>
      <formula>2</formula>
    </cfRule>
  </conditionalFormatting>
  <conditionalFormatting sqref="L6">
    <cfRule type="cellIs" dxfId="83" priority="23" operator="greaterThan">
      <formula>4</formula>
    </cfRule>
    <cfRule type="cellIs" dxfId="82" priority="24" operator="between">
      <formula>3</formula>
      <formula>4</formula>
    </cfRule>
    <cfRule type="cellIs" dxfId="81" priority="25" operator="between">
      <formula>1</formula>
      <formula>2</formula>
    </cfRule>
  </conditionalFormatting>
  <conditionalFormatting sqref="L5:L12 M5">
    <cfRule type="cellIs" dxfId="80" priority="19" operator="equal">
      <formula>"Inactivo"</formula>
    </cfRule>
    <cfRule type="cellIs" dxfId="79" priority="20" operator="equal">
      <formula>"Cerrado"</formula>
    </cfRule>
    <cfRule type="cellIs" dxfId="78" priority="21" operator="equal">
      <formula>"Controlado"</formula>
    </cfRule>
    <cfRule type="cellIs" dxfId="77" priority="22" operator="equal">
      <formula>"Activo"</formula>
    </cfRule>
  </conditionalFormatting>
  <conditionalFormatting sqref="I13:I14">
    <cfRule type="cellIs" dxfId="76" priority="16" operator="greaterThan">
      <formula>4</formula>
    </cfRule>
    <cfRule type="cellIs" dxfId="75" priority="17" operator="between">
      <formula>3</formula>
      <formula>4</formula>
    </cfRule>
    <cfRule type="cellIs" dxfId="74" priority="18" operator="between">
      <formula>1</formula>
      <formula>2</formula>
    </cfRule>
  </conditionalFormatting>
  <conditionalFormatting sqref="L13:L14">
    <cfRule type="cellIs" dxfId="73" priority="12" operator="equal">
      <formula>"Inactivo"</formula>
    </cfRule>
    <cfRule type="cellIs" dxfId="72" priority="13" operator="equal">
      <formula>"Cerrado"</formula>
    </cfRule>
    <cfRule type="cellIs" dxfId="71" priority="14" operator="equal">
      <formula>"Controlado"</formula>
    </cfRule>
    <cfRule type="cellIs" dxfId="70" priority="15" operator="equal">
      <formula>"Activo"</formula>
    </cfRule>
  </conditionalFormatting>
  <conditionalFormatting sqref="I15:I19">
    <cfRule type="cellIs" dxfId="69" priority="9" operator="greaterThan">
      <formula>4</formula>
    </cfRule>
    <cfRule type="cellIs" dxfId="68" priority="10" operator="between">
      <formula>3</formula>
      <formula>4</formula>
    </cfRule>
    <cfRule type="cellIs" dxfId="67" priority="11" operator="between">
      <formula>1</formula>
      <formula>2</formula>
    </cfRule>
  </conditionalFormatting>
  <conditionalFormatting sqref="L19">
    <cfRule type="cellIs" dxfId="66" priority="1" operator="equal">
      <formula>"Inactivo"</formula>
    </cfRule>
    <cfRule type="cellIs" dxfId="65" priority="2" operator="equal">
      <formula>"Cerrado"</formula>
    </cfRule>
    <cfRule type="cellIs" dxfId="64" priority="3" operator="equal">
      <formula>"Controlado"</formula>
    </cfRule>
    <cfRule type="cellIs" dxfId="63" priority="4" operator="equal">
      <formula>"Activo"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CA2E-C1BD-4DCD-9143-952C3F7E69DF}">
  <dimension ref="A1:L10"/>
  <sheetViews>
    <sheetView workbookViewId="0">
      <selection activeCell="M12" sqref="M12"/>
    </sheetView>
  </sheetViews>
  <sheetFormatPr baseColWidth="10" defaultRowHeight="12.75" x14ac:dyDescent="0.2"/>
  <cols>
    <col min="2" max="2" width="28" customWidth="1"/>
    <col min="9" max="9" width="15.42578125" customWidth="1"/>
    <col min="10" max="10" width="33.7109375" customWidth="1"/>
    <col min="12" max="12" width="0" hidden="1" customWidth="1"/>
  </cols>
  <sheetData>
    <row r="1" spans="1:12" ht="38.25" x14ac:dyDescent="0.2">
      <c r="A1" s="46" t="s">
        <v>47</v>
      </c>
      <c r="B1" s="46" t="s">
        <v>48</v>
      </c>
      <c r="C1" s="46" t="s">
        <v>49</v>
      </c>
      <c r="D1" s="46" t="s">
        <v>3</v>
      </c>
      <c r="E1" s="46" t="s">
        <v>15</v>
      </c>
      <c r="F1" s="46" t="s">
        <v>80</v>
      </c>
      <c r="G1" s="46" t="s">
        <v>79</v>
      </c>
      <c r="H1" s="46" t="s">
        <v>50</v>
      </c>
      <c r="I1" s="46" t="s">
        <v>52</v>
      </c>
      <c r="J1" s="67" t="s">
        <v>88</v>
      </c>
      <c r="K1" s="67" t="s">
        <v>51</v>
      </c>
      <c r="L1" s="67" t="s">
        <v>53</v>
      </c>
    </row>
    <row r="2" spans="1:12" ht="51" x14ac:dyDescent="0.2">
      <c r="A2" s="51" t="s">
        <v>157</v>
      </c>
      <c r="B2" s="54" t="s">
        <v>158</v>
      </c>
      <c r="C2" s="55" t="s">
        <v>112</v>
      </c>
      <c r="D2" s="92" t="s">
        <v>18</v>
      </c>
      <c r="E2" s="90">
        <v>2</v>
      </c>
      <c r="F2" s="92" t="s">
        <v>19</v>
      </c>
      <c r="G2" s="90">
        <v>3</v>
      </c>
      <c r="H2" s="63">
        <v>6</v>
      </c>
      <c r="I2" s="54" t="s">
        <v>94</v>
      </c>
      <c r="J2" s="71" t="s">
        <v>159</v>
      </c>
      <c r="K2" s="59" t="s">
        <v>138</v>
      </c>
      <c r="L2" s="74" t="s">
        <v>107</v>
      </c>
    </row>
    <row r="3" spans="1:12" ht="38.25" x14ac:dyDescent="0.2">
      <c r="A3" s="51" t="s">
        <v>166</v>
      </c>
      <c r="B3" s="54" t="s">
        <v>160</v>
      </c>
      <c r="C3" s="55" t="s">
        <v>56</v>
      </c>
      <c r="D3" s="92" t="s">
        <v>17</v>
      </c>
      <c r="E3" s="90">
        <v>1</v>
      </c>
      <c r="F3" s="92" t="s">
        <v>19</v>
      </c>
      <c r="G3" s="90">
        <v>3</v>
      </c>
      <c r="H3" s="63">
        <v>3</v>
      </c>
      <c r="I3" s="54" t="s">
        <v>94</v>
      </c>
      <c r="J3" s="71" t="s">
        <v>163</v>
      </c>
      <c r="K3" s="59" t="s">
        <v>138</v>
      </c>
      <c r="L3" s="61"/>
    </row>
    <row r="4" spans="1:12" ht="38.25" x14ac:dyDescent="0.2">
      <c r="A4" s="51" t="s">
        <v>167</v>
      </c>
      <c r="B4" s="54" t="s">
        <v>161</v>
      </c>
      <c r="C4" s="55" t="s">
        <v>133</v>
      </c>
      <c r="D4" s="92" t="s">
        <v>18</v>
      </c>
      <c r="E4" s="90">
        <v>2</v>
      </c>
      <c r="F4" s="92" t="s">
        <v>19</v>
      </c>
      <c r="G4" s="90">
        <v>3</v>
      </c>
      <c r="H4" s="63">
        <v>6</v>
      </c>
      <c r="I4" s="54" t="s">
        <v>95</v>
      </c>
      <c r="J4" s="71" t="s">
        <v>164</v>
      </c>
      <c r="K4" s="59" t="s">
        <v>138</v>
      </c>
      <c r="L4" s="74" t="s">
        <v>107</v>
      </c>
    </row>
    <row r="5" spans="1:12" ht="38.25" x14ac:dyDescent="0.2">
      <c r="A5" s="51" t="s">
        <v>168</v>
      </c>
      <c r="B5" s="54" t="s">
        <v>162</v>
      </c>
      <c r="C5" s="55" t="s">
        <v>112</v>
      </c>
      <c r="D5" s="92" t="s">
        <v>18</v>
      </c>
      <c r="E5" s="90">
        <v>2</v>
      </c>
      <c r="F5" s="92" t="s">
        <v>18</v>
      </c>
      <c r="G5" s="90">
        <v>2</v>
      </c>
      <c r="H5" s="63">
        <v>4</v>
      </c>
      <c r="I5" s="54" t="s">
        <v>96</v>
      </c>
      <c r="J5" s="71" t="s">
        <v>165</v>
      </c>
      <c r="K5" s="69" t="s">
        <v>59</v>
      </c>
      <c r="L5" s="74" t="s">
        <v>107</v>
      </c>
    </row>
    <row r="6" spans="1:12" ht="38.25" x14ac:dyDescent="0.2">
      <c r="A6" s="51" t="s">
        <v>40</v>
      </c>
      <c r="B6" s="47" t="s">
        <v>63</v>
      </c>
      <c r="C6" s="47" t="s">
        <v>112</v>
      </c>
      <c r="D6" s="48" t="s">
        <v>18</v>
      </c>
      <c r="E6" s="48">
        <v>2</v>
      </c>
      <c r="F6" s="48" t="s">
        <v>18</v>
      </c>
      <c r="G6" s="48">
        <v>2</v>
      </c>
      <c r="H6" s="49">
        <v>4</v>
      </c>
      <c r="I6" s="54" t="s">
        <v>96</v>
      </c>
      <c r="J6" s="58" t="s">
        <v>91</v>
      </c>
      <c r="K6" s="69" t="s">
        <v>59</v>
      </c>
      <c r="L6" s="74" t="s">
        <v>107</v>
      </c>
    </row>
    <row r="7" spans="1:12" ht="38.25" x14ac:dyDescent="0.2">
      <c r="A7" s="51" t="s">
        <v>71</v>
      </c>
      <c r="B7" s="54" t="s">
        <v>82</v>
      </c>
      <c r="C7" s="47" t="s">
        <v>112</v>
      </c>
      <c r="D7" s="92" t="s">
        <v>18</v>
      </c>
      <c r="E7" s="90">
        <v>2</v>
      </c>
      <c r="F7" s="92" t="s">
        <v>18</v>
      </c>
      <c r="G7" s="90">
        <v>2</v>
      </c>
      <c r="H7" s="63">
        <v>4</v>
      </c>
      <c r="I7" s="54" t="s">
        <v>94</v>
      </c>
      <c r="J7" s="71" t="s">
        <v>100</v>
      </c>
      <c r="K7" s="69" t="s">
        <v>59</v>
      </c>
      <c r="L7" s="74"/>
    </row>
    <row r="8" spans="1:12" ht="38.25" x14ac:dyDescent="0.2">
      <c r="A8" s="51" t="s">
        <v>75</v>
      </c>
      <c r="B8" s="54" t="s">
        <v>84</v>
      </c>
      <c r="C8" s="47" t="s">
        <v>56</v>
      </c>
      <c r="D8" s="92" t="s">
        <v>18</v>
      </c>
      <c r="E8" s="90">
        <v>2</v>
      </c>
      <c r="F8" s="92" t="s">
        <v>19</v>
      </c>
      <c r="G8" s="90">
        <v>3</v>
      </c>
      <c r="H8" s="63">
        <v>6</v>
      </c>
      <c r="I8" s="54" t="s">
        <v>94</v>
      </c>
      <c r="J8" s="71" t="s">
        <v>101</v>
      </c>
      <c r="K8" s="69" t="s">
        <v>59</v>
      </c>
      <c r="L8" s="74"/>
    </row>
    <row r="9" spans="1:12" ht="38.25" x14ac:dyDescent="0.2">
      <c r="A9" s="51" t="s">
        <v>98</v>
      </c>
      <c r="B9" s="54" t="s">
        <v>86</v>
      </c>
      <c r="C9" s="47" t="s">
        <v>112</v>
      </c>
      <c r="D9" s="92" t="s">
        <v>18</v>
      </c>
      <c r="E9" s="90">
        <v>2</v>
      </c>
      <c r="F9" s="92" t="s">
        <v>19</v>
      </c>
      <c r="G9" s="90">
        <v>3</v>
      </c>
      <c r="H9" s="63">
        <v>6</v>
      </c>
      <c r="I9" s="54" t="s">
        <v>96</v>
      </c>
      <c r="J9" s="71" t="s">
        <v>103</v>
      </c>
      <c r="K9" s="69" t="s">
        <v>59</v>
      </c>
      <c r="L9" s="74"/>
    </row>
    <row r="10" spans="1:12" ht="38.25" x14ac:dyDescent="0.2">
      <c r="A10" s="51" t="s">
        <v>132</v>
      </c>
      <c r="B10" s="54" t="s">
        <v>131</v>
      </c>
      <c r="C10" s="47" t="s">
        <v>112</v>
      </c>
      <c r="D10" s="92" t="s">
        <v>18</v>
      </c>
      <c r="E10" s="90">
        <v>2</v>
      </c>
      <c r="F10" s="92" t="s">
        <v>18</v>
      </c>
      <c r="G10" s="90">
        <v>2</v>
      </c>
      <c r="H10" s="63">
        <v>4</v>
      </c>
      <c r="I10" s="54" t="s">
        <v>96</v>
      </c>
      <c r="J10" s="96" t="s">
        <v>151</v>
      </c>
      <c r="K10" s="69" t="s">
        <v>59</v>
      </c>
      <c r="L10" s="74"/>
    </row>
  </sheetData>
  <autoFilter ref="A1:K10" xr:uid="{14C5CA2E-C1BD-4DCD-9143-952C3F7E69DF}">
    <sortState xmlns:xlrd2="http://schemas.microsoft.com/office/spreadsheetml/2017/richdata2" ref="A2:K10">
      <sortCondition ref="K1"/>
    </sortState>
  </autoFilter>
  <conditionalFormatting sqref="H1:H6">
    <cfRule type="cellIs" dxfId="62" priority="39" operator="greaterThan">
      <formula>4</formula>
    </cfRule>
    <cfRule type="cellIs" dxfId="61" priority="40" operator="between">
      <formula>3</formula>
      <formula>4</formula>
    </cfRule>
    <cfRule type="cellIs" dxfId="60" priority="41" operator="between">
      <formula>1</formula>
      <formula>2</formula>
    </cfRule>
  </conditionalFormatting>
  <conditionalFormatting sqref="K1">
    <cfRule type="cellIs" dxfId="59" priority="35" operator="equal">
      <formula>"Inactivo"</formula>
    </cfRule>
    <cfRule type="cellIs" dxfId="58" priority="36" operator="equal">
      <formula>"Cerrado"</formula>
    </cfRule>
    <cfRule type="cellIs" dxfId="57" priority="37" operator="equal">
      <formula>"Controlado"</formula>
    </cfRule>
    <cfRule type="cellIs" dxfId="56" priority="38" operator="equal">
      <formula>"Activo"</formula>
    </cfRule>
  </conditionalFormatting>
  <conditionalFormatting sqref="H7:H10">
    <cfRule type="cellIs" dxfId="55" priority="25" operator="greaterThan">
      <formula>4</formula>
    </cfRule>
    <cfRule type="cellIs" dxfId="54" priority="26" operator="between">
      <formula>3</formula>
      <formula>4</formula>
    </cfRule>
    <cfRule type="cellIs" dxfId="53" priority="27" operator="between">
      <formula>1</formula>
      <formula>2</formula>
    </cfRule>
  </conditionalFormatting>
  <conditionalFormatting sqref="K7:K10">
    <cfRule type="cellIs" dxfId="52" priority="21" operator="equal">
      <formula>"Inactivo"</formula>
    </cfRule>
    <cfRule type="cellIs" dxfId="51" priority="22" operator="equal">
      <formula>"Cerrado"</formula>
    </cfRule>
    <cfRule type="cellIs" dxfId="50" priority="23" operator="equal">
      <formula>"Controlado"</formula>
    </cfRule>
    <cfRule type="cellIs" dxfId="49" priority="24" operator="equal">
      <formula>"Activo"</formula>
    </cfRule>
  </conditionalFormatting>
  <conditionalFormatting sqref="K5">
    <cfRule type="cellIs" dxfId="48" priority="5" operator="equal">
      <formula>"Inactivo"</formula>
    </cfRule>
    <cfRule type="cellIs" dxfId="47" priority="6" operator="equal">
      <formula>"Cerrado"</formula>
    </cfRule>
    <cfRule type="cellIs" dxfId="46" priority="7" operator="equal">
      <formula>"Controlado"</formula>
    </cfRule>
    <cfRule type="cellIs" dxfId="45" priority="8" operator="equal">
      <formula>"Activo"</formula>
    </cfRule>
  </conditionalFormatting>
  <conditionalFormatting sqref="K2">
    <cfRule type="cellIs" dxfId="44" priority="17" operator="equal">
      <formula>"Inactivo"</formula>
    </cfRule>
    <cfRule type="cellIs" dxfId="43" priority="18" operator="equal">
      <formula>"Cerrado"</formula>
    </cfRule>
    <cfRule type="cellIs" dxfId="42" priority="19" operator="equal">
      <formula>"Controlado"</formula>
    </cfRule>
    <cfRule type="cellIs" dxfId="41" priority="20" operator="equal">
      <formula>"Activo"</formula>
    </cfRule>
  </conditionalFormatting>
  <conditionalFormatting sqref="K3">
    <cfRule type="cellIs" dxfId="40" priority="13" operator="equal">
      <formula>"Inactivo"</formula>
    </cfRule>
    <cfRule type="cellIs" dxfId="39" priority="14" operator="equal">
      <formula>"Cerrado"</formula>
    </cfRule>
    <cfRule type="cellIs" dxfId="38" priority="15" operator="equal">
      <formula>"Controlado"</formula>
    </cfRule>
    <cfRule type="cellIs" dxfId="37" priority="16" operator="equal">
      <formula>"Activo"</formula>
    </cfRule>
  </conditionalFormatting>
  <conditionalFormatting sqref="K4">
    <cfRule type="cellIs" dxfId="36" priority="9" operator="equal">
      <formula>"Inactivo"</formula>
    </cfRule>
    <cfRule type="cellIs" dxfId="35" priority="10" operator="equal">
      <formula>"Cerrado"</formula>
    </cfRule>
    <cfRule type="cellIs" dxfId="34" priority="11" operator="equal">
      <formula>"Controlado"</formula>
    </cfRule>
    <cfRule type="cellIs" dxfId="33" priority="12" operator="equal">
      <formula>"Activo"</formula>
    </cfRule>
  </conditionalFormatting>
  <conditionalFormatting sqref="K6">
    <cfRule type="cellIs" dxfId="32" priority="1" operator="equal">
      <formula>"Inactivo"</formula>
    </cfRule>
    <cfRule type="cellIs" dxfId="31" priority="2" operator="equal">
      <formula>"Cerrado"</formula>
    </cfRule>
    <cfRule type="cellIs" dxfId="30" priority="3" operator="equal">
      <formula>"Controlado"</formula>
    </cfRule>
    <cfRule type="cellIs" dxfId="29" priority="4" operator="equal">
      <formula>"Activo"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7538-2083-48FB-9901-BBB23D93C6C0}">
  <dimension ref="A1:L11"/>
  <sheetViews>
    <sheetView workbookViewId="0">
      <selection activeCell="P7" sqref="P7"/>
    </sheetView>
  </sheetViews>
  <sheetFormatPr baseColWidth="10" defaultRowHeight="12.75" x14ac:dyDescent="0.2"/>
  <cols>
    <col min="2" max="2" width="32.28515625" customWidth="1"/>
    <col min="10" max="10" width="33.7109375" customWidth="1"/>
    <col min="12" max="12" width="0" hidden="1" customWidth="1"/>
  </cols>
  <sheetData>
    <row r="1" spans="1:12" ht="38.25" x14ac:dyDescent="0.2">
      <c r="A1" s="46" t="s">
        <v>47</v>
      </c>
      <c r="B1" s="46" t="s">
        <v>48</v>
      </c>
      <c r="C1" s="46" t="s">
        <v>49</v>
      </c>
      <c r="D1" s="46" t="s">
        <v>3</v>
      </c>
      <c r="E1" s="46" t="s">
        <v>15</v>
      </c>
      <c r="F1" s="46" t="s">
        <v>80</v>
      </c>
      <c r="G1" s="46" t="s">
        <v>79</v>
      </c>
      <c r="H1" s="46" t="s">
        <v>50</v>
      </c>
      <c r="I1" s="46" t="s">
        <v>52</v>
      </c>
      <c r="J1" s="67" t="s">
        <v>88</v>
      </c>
      <c r="K1" s="67" t="s">
        <v>51</v>
      </c>
      <c r="L1" s="67" t="s">
        <v>53</v>
      </c>
    </row>
    <row r="2" spans="1:12" ht="51" x14ac:dyDescent="0.2">
      <c r="A2" s="51" t="s">
        <v>35</v>
      </c>
      <c r="B2" s="47" t="s">
        <v>173</v>
      </c>
      <c r="C2" s="47" t="s">
        <v>56</v>
      </c>
      <c r="D2" s="48" t="s">
        <v>18</v>
      </c>
      <c r="E2" s="48">
        <v>2</v>
      </c>
      <c r="F2" s="48" t="s">
        <v>18</v>
      </c>
      <c r="G2" s="48">
        <v>2</v>
      </c>
      <c r="H2" s="49">
        <v>4</v>
      </c>
      <c r="I2" s="54" t="s">
        <v>94</v>
      </c>
      <c r="J2" s="60" t="s">
        <v>174</v>
      </c>
      <c r="K2" s="59" t="s">
        <v>54</v>
      </c>
      <c r="L2" s="61"/>
    </row>
    <row r="3" spans="1:12" ht="38.25" x14ac:dyDescent="0.2">
      <c r="A3" s="51" t="s">
        <v>42</v>
      </c>
      <c r="B3" s="47" t="s">
        <v>66</v>
      </c>
      <c r="C3" s="47" t="s">
        <v>65</v>
      </c>
      <c r="D3" s="48" t="s">
        <v>18</v>
      </c>
      <c r="E3" s="48">
        <v>2</v>
      </c>
      <c r="F3" s="48" t="s">
        <v>18</v>
      </c>
      <c r="G3" s="48">
        <v>2</v>
      </c>
      <c r="H3" s="49">
        <v>4</v>
      </c>
      <c r="I3" s="54" t="s">
        <v>96</v>
      </c>
      <c r="J3" s="60" t="s">
        <v>67</v>
      </c>
      <c r="K3" s="59" t="s">
        <v>54</v>
      </c>
      <c r="L3" s="61"/>
    </row>
    <row r="4" spans="1:12" ht="38.25" x14ac:dyDescent="0.2">
      <c r="A4" s="51" t="s">
        <v>45</v>
      </c>
      <c r="B4" s="54" t="s">
        <v>72</v>
      </c>
      <c r="C4" s="47" t="s">
        <v>73</v>
      </c>
      <c r="D4" s="48" t="s">
        <v>18</v>
      </c>
      <c r="E4" s="48">
        <v>1</v>
      </c>
      <c r="F4" s="48" t="s">
        <v>17</v>
      </c>
      <c r="G4" s="48">
        <v>2</v>
      </c>
      <c r="H4" s="49">
        <v>2</v>
      </c>
      <c r="I4" s="54" t="s">
        <v>96</v>
      </c>
      <c r="J4" s="60" t="s">
        <v>172</v>
      </c>
      <c r="K4" s="59" t="s">
        <v>54</v>
      </c>
      <c r="L4" s="61"/>
    </row>
    <row r="5" spans="1:12" ht="38.25" x14ac:dyDescent="0.2">
      <c r="A5" s="51" t="s">
        <v>74</v>
      </c>
      <c r="B5" s="54" t="s">
        <v>83</v>
      </c>
      <c r="C5" s="47" t="s">
        <v>56</v>
      </c>
      <c r="D5" s="92" t="s">
        <v>19</v>
      </c>
      <c r="E5" s="90">
        <v>3</v>
      </c>
      <c r="F5" s="92" t="s">
        <v>19</v>
      </c>
      <c r="G5" s="90">
        <v>3</v>
      </c>
      <c r="H5" s="63">
        <v>9</v>
      </c>
      <c r="I5" s="54" t="s">
        <v>95</v>
      </c>
      <c r="J5" s="60" t="s">
        <v>170</v>
      </c>
      <c r="K5" s="59" t="s">
        <v>54</v>
      </c>
      <c r="L5" s="68"/>
    </row>
    <row r="6" spans="1:12" ht="38.25" x14ac:dyDescent="0.2">
      <c r="A6" s="51" t="s">
        <v>40</v>
      </c>
      <c r="B6" s="47" t="s">
        <v>63</v>
      </c>
      <c r="C6" s="47" t="s">
        <v>112</v>
      </c>
      <c r="D6" s="48" t="s">
        <v>18</v>
      </c>
      <c r="E6" s="48">
        <v>2</v>
      </c>
      <c r="F6" s="48" t="s">
        <v>18</v>
      </c>
      <c r="G6" s="48">
        <v>2</v>
      </c>
      <c r="H6" s="49">
        <v>4</v>
      </c>
      <c r="I6" s="54" t="s">
        <v>96</v>
      </c>
      <c r="J6" s="58" t="s">
        <v>91</v>
      </c>
      <c r="K6" s="59" t="s">
        <v>54</v>
      </c>
      <c r="L6" s="74" t="s">
        <v>107</v>
      </c>
    </row>
    <row r="7" spans="1:12" ht="38.25" x14ac:dyDescent="0.2">
      <c r="A7" s="56" t="s">
        <v>70</v>
      </c>
      <c r="B7" s="54" t="s">
        <v>78</v>
      </c>
      <c r="C7" s="50" t="s">
        <v>56</v>
      </c>
      <c r="D7" s="53" t="s">
        <v>19</v>
      </c>
      <c r="E7" s="53">
        <v>3</v>
      </c>
      <c r="F7" s="53" t="s">
        <v>19</v>
      </c>
      <c r="G7" s="53">
        <v>3</v>
      </c>
      <c r="H7" s="57">
        <v>9</v>
      </c>
      <c r="I7" s="54" t="s">
        <v>95</v>
      </c>
      <c r="J7" s="60" t="s">
        <v>171</v>
      </c>
      <c r="K7" s="59" t="s">
        <v>54</v>
      </c>
      <c r="L7" s="61"/>
    </row>
    <row r="8" spans="1:12" ht="38.25" x14ac:dyDescent="0.2">
      <c r="A8" s="51" t="s">
        <v>75</v>
      </c>
      <c r="B8" s="54" t="s">
        <v>84</v>
      </c>
      <c r="C8" s="47" t="s">
        <v>56</v>
      </c>
      <c r="D8" s="92" t="s">
        <v>18</v>
      </c>
      <c r="E8" s="90">
        <v>2</v>
      </c>
      <c r="F8" s="92" t="s">
        <v>19</v>
      </c>
      <c r="G8" s="90">
        <v>3</v>
      </c>
      <c r="H8" s="63">
        <v>6</v>
      </c>
      <c r="I8" s="54" t="s">
        <v>94</v>
      </c>
      <c r="J8" s="71" t="s">
        <v>101</v>
      </c>
      <c r="K8" s="59" t="s">
        <v>54</v>
      </c>
      <c r="L8" s="74" t="s">
        <v>107</v>
      </c>
    </row>
    <row r="9" spans="1:12" ht="38.25" x14ac:dyDescent="0.2">
      <c r="A9" s="51" t="s">
        <v>98</v>
      </c>
      <c r="B9" s="54" t="s">
        <v>86</v>
      </c>
      <c r="C9" s="47" t="s">
        <v>112</v>
      </c>
      <c r="D9" s="92" t="s">
        <v>18</v>
      </c>
      <c r="E9" s="90">
        <v>2</v>
      </c>
      <c r="F9" s="92" t="s">
        <v>19</v>
      </c>
      <c r="G9" s="90">
        <v>3</v>
      </c>
      <c r="H9" s="63">
        <v>6</v>
      </c>
      <c r="I9" s="54" t="s">
        <v>96</v>
      </c>
      <c r="J9" s="71" t="s">
        <v>103</v>
      </c>
      <c r="K9" s="59" t="s">
        <v>54</v>
      </c>
      <c r="L9" s="74" t="s">
        <v>107</v>
      </c>
    </row>
    <row r="10" spans="1:12" ht="38.25" x14ac:dyDescent="0.2">
      <c r="A10" s="51" t="s">
        <v>132</v>
      </c>
      <c r="B10" s="54" t="s">
        <v>131</v>
      </c>
      <c r="C10" s="47" t="s">
        <v>112</v>
      </c>
      <c r="D10" s="92" t="s">
        <v>18</v>
      </c>
      <c r="E10" s="90">
        <v>2</v>
      </c>
      <c r="F10" s="92" t="s">
        <v>18</v>
      </c>
      <c r="G10" s="90">
        <v>2</v>
      </c>
      <c r="H10" s="63">
        <v>4</v>
      </c>
      <c r="I10" s="54" t="s">
        <v>96</v>
      </c>
      <c r="J10" s="96" t="s">
        <v>151</v>
      </c>
      <c r="K10" s="59" t="s">
        <v>54</v>
      </c>
      <c r="L10" s="75"/>
    </row>
    <row r="11" spans="1:12" ht="38.25" x14ac:dyDescent="0.2">
      <c r="A11" s="51" t="s">
        <v>168</v>
      </c>
      <c r="B11" s="54" t="s">
        <v>162</v>
      </c>
      <c r="C11" s="55" t="s">
        <v>112</v>
      </c>
      <c r="D11" s="92" t="s">
        <v>18</v>
      </c>
      <c r="E11" s="90">
        <v>2</v>
      </c>
      <c r="F11" s="92" t="s">
        <v>18</v>
      </c>
      <c r="G11" s="90">
        <v>2</v>
      </c>
      <c r="H11" s="63">
        <v>4</v>
      </c>
      <c r="I11" s="54" t="s">
        <v>96</v>
      </c>
      <c r="J11" s="71" t="s">
        <v>165</v>
      </c>
      <c r="K11" s="59" t="s">
        <v>54</v>
      </c>
      <c r="L11" s="74"/>
    </row>
  </sheetData>
  <autoFilter ref="A1:L11" xr:uid="{93827538-2083-48FB-9901-BBB23D93C6C0}">
    <sortState xmlns:xlrd2="http://schemas.microsoft.com/office/spreadsheetml/2017/richdata2" ref="A2:L11">
      <sortCondition ref="K1:K11"/>
    </sortState>
  </autoFilter>
  <conditionalFormatting sqref="H1:H9">
    <cfRule type="cellIs" dxfId="28" priority="38" operator="greaterThan">
      <formula>4</formula>
    </cfRule>
    <cfRule type="cellIs" dxfId="27" priority="39" operator="between">
      <formula>3</formula>
      <formula>4</formula>
    </cfRule>
    <cfRule type="cellIs" dxfId="26" priority="40" operator="between">
      <formula>1</formula>
      <formula>2</formula>
    </cfRule>
  </conditionalFormatting>
  <conditionalFormatting sqref="K1">
    <cfRule type="cellIs" dxfId="25" priority="34" operator="equal">
      <formula>"Inactivo"</formula>
    </cfRule>
    <cfRule type="cellIs" dxfId="24" priority="35" operator="equal">
      <formula>"Cerrado"</formula>
    </cfRule>
    <cfRule type="cellIs" dxfId="23" priority="36" operator="equal">
      <formula>"Controlado"</formula>
    </cfRule>
    <cfRule type="cellIs" dxfId="22" priority="37" operator="equal">
      <formula>"Activo"</formula>
    </cfRule>
  </conditionalFormatting>
  <conditionalFormatting sqref="H10">
    <cfRule type="cellIs" dxfId="21" priority="28" operator="greaterThan">
      <formula>4</formula>
    </cfRule>
    <cfRule type="cellIs" dxfId="20" priority="29" operator="between">
      <formula>3</formula>
      <formula>4</formula>
    </cfRule>
    <cfRule type="cellIs" dxfId="19" priority="30" operator="between">
      <formula>1</formula>
      <formula>2</formula>
    </cfRule>
  </conditionalFormatting>
  <conditionalFormatting sqref="H11">
    <cfRule type="cellIs" dxfId="18" priority="21" operator="greaterThan">
      <formula>4</formula>
    </cfRule>
    <cfRule type="cellIs" dxfId="17" priority="22" operator="between">
      <formula>3</formula>
      <formula>4</formula>
    </cfRule>
    <cfRule type="cellIs" dxfId="16" priority="23" operator="between">
      <formula>1</formula>
      <formula>2</formula>
    </cfRule>
  </conditionalFormatting>
  <conditionalFormatting sqref="K2">
    <cfRule type="cellIs" dxfId="15" priority="14" operator="greaterThan">
      <formula>4</formula>
    </cfRule>
    <cfRule type="cellIs" dxfId="14" priority="15" operator="between">
      <formula>3</formula>
      <formula>4</formula>
    </cfRule>
    <cfRule type="cellIs" dxfId="13" priority="16" operator="between">
      <formula>1</formula>
      <formula>2</formula>
    </cfRule>
  </conditionalFormatting>
  <conditionalFormatting sqref="K2">
    <cfRule type="cellIs" dxfId="12" priority="9" operator="equal">
      <formula>"Inactivo"</formula>
    </cfRule>
    <cfRule type="cellIs" dxfId="11" priority="11" operator="equal">
      <formula>"Cerrado"</formula>
    </cfRule>
    <cfRule type="cellIs" dxfId="10" priority="12" operator="equal">
      <formula>"Controlado"</formula>
    </cfRule>
    <cfRule type="cellIs" dxfId="9" priority="13" operator="equal">
      <formula>"Activo"</formula>
    </cfRule>
  </conditionalFormatting>
  <conditionalFormatting sqref="K2">
    <cfRule type="cellIs" dxfId="8" priority="10" operator="equal">
      <formula>"Inactivo"</formula>
    </cfRule>
  </conditionalFormatting>
  <conditionalFormatting sqref="K3:K11">
    <cfRule type="cellIs" dxfId="7" priority="6" operator="greaterThan">
      <formula>4</formula>
    </cfRule>
    <cfRule type="cellIs" dxfId="6" priority="7" operator="between">
      <formula>3</formula>
      <formula>4</formula>
    </cfRule>
    <cfRule type="cellIs" dxfId="5" priority="8" operator="between">
      <formula>1</formula>
      <formula>2</formula>
    </cfRule>
  </conditionalFormatting>
  <conditionalFormatting sqref="K3:K11">
    <cfRule type="cellIs" dxfId="4" priority="1" operator="equal">
      <formula>"Inactivo"</formula>
    </cfRule>
    <cfRule type="cellIs" dxfId="3" priority="3" operator="equal">
      <formula>"Cerrado"</formula>
    </cfRule>
    <cfRule type="cellIs" dxfId="2" priority="4" operator="equal">
      <formula>"Controlado"</formula>
    </cfRule>
    <cfRule type="cellIs" dxfId="1" priority="5" operator="equal">
      <formula>"Activo"</formula>
    </cfRule>
  </conditionalFormatting>
  <conditionalFormatting sqref="K3:K11">
    <cfRule type="cellIs" dxfId="0" priority="2" operator="equal">
      <formula>"Inactivo"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62DB-DF18-4EA5-9898-AF94B5503C2F}">
  <dimension ref="A6:O35"/>
  <sheetViews>
    <sheetView workbookViewId="0">
      <selection activeCell="L22" sqref="L22"/>
    </sheetView>
  </sheetViews>
  <sheetFormatPr baseColWidth="10" defaultRowHeight="12.75" x14ac:dyDescent="0.2"/>
  <cols>
    <col min="1" max="1" width="17.85546875" bestFit="1" customWidth="1"/>
    <col min="2" max="2" width="12.7109375" bestFit="1" customWidth="1"/>
    <col min="3" max="3" width="8" bestFit="1" customWidth="1"/>
    <col min="4" max="4" width="7.85546875" bestFit="1" customWidth="1"/>
    <col min="5" max="5" width="8.140625" bestFit="1" customWidth="1"/>
    <col min="6" max="6" width="13.140625" bestFit="1" customWidth="1"/>
  </cols>
  <sheetData>
    <row r="6" spans="1:15" x14ac:dyDescent="0.2">
      <c r="A6" s="77" t="s">
        <v>109</v>
      </c>
      <c r="B6" t="s">
        <v>111</v>
      </c>
    </row>
    <row r="7" spans="1:15" x14ac:dyDescent="0.2">
      <c r="A7" s="78" t="s">
        <v>54</v>
      </c>
      <c r="B7" s="79">
        <v>36</v>
      </c>
    </row>
    <row r="8" spans="1:15" x14ac:dyDescent="0.2">
      <c r="A8" s="78" t="s">
        <v>110</v>
      </c>
      <c r="B8" s="79">
        <v>36</v>
      </c>
      <c r="J8" s="58"/>
      <c r="K8" s="58"/>
      <c r="L8" s="58"/>
      <c r="M8" s="139" t="s">
        <v>0</v>
      </c>
      <c r="N8" s="125"/>
      <c r="O8" s="125"/>
    </row>
    <row r="9" spans="1:15" x14ac:dyDescent="0.2">
      <c r="J9" s="58"/>
      <c r="K9" s="58"/>
      <c r="L9" s="58"/>
      <c r="M9" s="80" t="s">
        <v>2</v>
      </c>
      <c r="N9" s="41" t="s">
        <v>16</v>
      </c>
      <c r="O9" s="41" t="s">
        <v>1</v>
      </c>
    </row>
    <row r="10" spans="1:15" x14ac:dyDescent="0.2">
      <c r="J10" s="58"/>
      <c r="K10" s="58"/>
      <c r="L10" s="58"/>
      <c r="M10" s="80">
        <v>1</v>
      </c>
      <c r="N10" s="41">
        <v>2</v>
      </c>
      <c r="O10" s="41">
        <v>3</v>
      </c>
    </row>
    <row r="11" spans="1:15" x14ac:dyDescent="0.2">
      <c r="J11" s="140" t="s">
        <v>3</v>
      </c>
      <c r="K11" s="81" t="s">
        <v>17</v>
      </c>
      <c r="L11" s="81">
        <v>1</v>
      </c>
      <c r="M11" s="42">
        <f>L11*M10</f>
        <v>1</v>
      </c>
      <c r="N11" s="42">
        <f>L11*N10</f>
        <v>2</v>
      </c>
      <c r="O11" s="43">
        <f>L11*O10</f>
        <v>3</v>
      </c>
    </row>
    <row r="12" spans="1:15" x14ac:dyDescent="0.2">
      <c r="J12" s="119"/>
      <c r="K12" s="41" t="s">
        <v>18</v>
      </c>
      <c r="L12" s="41">
        <v>2</v>
      </c>
      <c r="M12" s="42">
        <f>L12*M10</f>
        <v>2</v>
      </c>
      <c r="N12" s="43">
        <f>L12*N10</f>
        <v>4</v>
      </c>
      <c r="O12" s="44">
        <f>L12*O10</f>
        <v>6</v>
      </c>
    </row>
    <row r="13" spans="1:15" x14ac:dyDescent="0.2">
      <c r="J13" s="119"/>
      <c r="K13" s="41" t="s">
        <v>19</v>
      </c>
      <c r="L13" s="41">
        <v>3</v>
      </c>
      <c r="M13" s="43">
        <f>L13*M10</f>
        <v>3</v>
      </c>
      <c r="N13" s="44">
        <f>L13*N10</f>
        <v>6</v>
      </c>
      <c r="O13" s="44">
        <f>L13*O10</f>
        <v>9</v>
      </c>
    </row>
    <row r="21" spans="1:5" x14ac:dyDescent="0.2">
      <c r="E21" s="93" t="s">
        <v>124</v>
      </c>
    </row>
    <row r="26" spans="1:5" x14ac:dyDescent="0.2">
      <c r="A26" s="77" t="s">
        <v>109</v>
      </c>
      <c r="B26" t="s">
        <v>111</v>
      </c>
    </row>
    <row r="27" spans="1:5" x14ac:dyDescent="0.2">
      <c r="A27" s="78" t="s">
        <v>65</v>
      </c>
      <c r="B27" s="79">
        <v>3</v>
      </c>
    </row>
    <row r="28" spans="1:5" x14ac:dyDescent="0.2">
      <c r="A28" s="78" t="s">
        <v>73</v>
      </c>
      <c r="B28" s="79">
        <v>2</v>
      </c>
    </row>
    <row r="29" spans="1:5" x14ac:dyDescent="0.2">
      <c r="A29" s="78" t="s">
        <v>112</v>
      </c>
      <c r="B29" s="79">
        <v>12</v>
      </c>
    </row>
    <row r="30" spans="1:5" x14ac:dyDescent="0.2">
      <c r="A30" s="78" t="s">
        <v>56</v>
      </c>
      <c r="B30" s="79">
        <v>14</v>
      </c>
    </row>
    <row r="31" spans="1:5" x14ac:dyDescent="0.2">
      <c r="A31" s="78" t="s">
        <v>133</v>
      </c>
      <c r="B31" s="79">
        <v>5</v>
      </c>
    </row>
    <row r="32" spans="1:5" x14ac:dyDescent="0.2">
      <c r="A32" s="78" t="s">
        <v>110</v>
      </c>
      <c r="B32" s="79">
        <v>36</v>
      </c>
    </row>
    <row r="35" spans="2:2" x14ac:dyDescent="0.2">
      <c r="B35" s="93" t="s">
        <v>124</v>
      </c>
    </row>
  </sheetData>
  <mergeCells count="2">
    <mergeCell ref="M8:O8"/>
    <mergeCell ref="J11:J13"/>
  </mergeCell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>
  <documentManagement>
    <TaxCatchAll xmlns="de7ac4cf-e23f-48fa-9529-c41e75b23430" xsi:nil="true"/>
    <lcf76f155ced4ddcb4097134ff3c332f xmlns="73c13b64-88fd-4eb7-a3bf-975b07d582db">
      <Terms xmlns="http://schemas.microsoft.com/office/infopath/2007/PartnerControls"/>
    </lcf76f155ced4ddcb4097134ff3c332f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2458228B949B479C0D95B74764B8CE" ma:contentTypeVersion="10" ma:contentTypeDescription="Crear nuevo documento." ma:contentTypeScope="" ma:versionID="734068bfad1b7fc3056ebe1a84daf5c5">
  <xsd:schema xmlns:xsd="http://www.w3.org/2001/XMLSchema" xmlns:xs="http://www.w3.org/2001/XMLSchema" xmlns:p="http://schemas.microsoft.com/office/2006/metadata/properties" xmlns:ns2="73c13b64-88fd-4eb7-a3bf-975b07d582db" xmlns:ns3="de7ac4cf-e23f-48fa-9529-c41e75b23430" targetNamespace="http://schemas.microsoft.com/office/2006/metadata/properties" ma:root="true" ma:fieldsID="f2d0ee4cb06e4d99530d64254e1556c3" ns2:_="" ns3:_="">
    <xsd:import namespace="73c13b64-88fd-4eb7-a3bf-975b07d582db"/>
    <xsd:import namespace="de7ac4cf-e23f-48fa-9529-c41e75b234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13b64-88fd-4eb7-a3bf-975b07d582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ac4cf-e23f-48fa-9529-c41e75b234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e0ce2e-47fc-4cfd-b901-939069886bd0}" ma:internalName="TaxCatchAll" ma:showField="CatchAllData" ma:web="de7ac4cf-e23f-48fa-9529-c41e75b234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B36F81-751E-4A8D-B556-B94E026D8BDF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de7ac4cf-e23f-48fa-9529-c41e75b23430"/>
    <ds:schemaRef ds:uri="73c13b64-88fd-4eb7-a3bf-975b07d582db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E88146F-8313-4F14-9E8E-59F7C9A50E18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6CA438A-4615-4A45-9496-DE171E1A11F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17A937D-11FA-47AA-9506-5DD8520C28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c13b64-88fd-4eb7-a3bf-975b07d582db"/>
    <ds:schemaRef ds:uri="de7ac4cf-e23f-48fa-9529-c41e75b234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Referencias de Riesgos</vt:lpstr>
      <vt:lpstr>Tabla de riesgos</vt:lpstr>
      <vt:lpstr>Hoja1</vt:lpstr>
      <vt:lpstr>11-10</vt:lpstr>
      <vt:lpstr>17-10</vt:lpstr>
      <vt:lpstr>25-10</vt:lpstr>
      <vt:lpstr>08-11</vt:lpstr>
      <vt:lpstr>15-11</vt:lpstr>
      <vt:lpstr>22-11</vt:lpstr>
      <vt:lpstr>Panel</vt:lpstr>
    </vt:vector>
  </TitlesOfParts>
  <Company>Bell Technologies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 Riesgos, Problemas y Cambios</dc:title>
  <dc:subject>cMAP</dc:subject>
  <dc:creator>Sergio Concha C.</dc:creator>
  <dc:description>Planilla excel con el listado de riesgos, problemas y control de cambios del proyecto.</dc:description>
  <cp:lastModifiedBy>Dyland Martinez</cp:lastModifiedBy>
  <cp:lastPrinted>2014-01-28T14:00:57Z</cp:lastPrinted>
  <dcterms:created xsi:type="dcterms:W3CDTF">2007-12-18T10:15:28Z</dcterms:created>
  <dcterms:modified xsi:type="dcterms:W3CDTF">2025-11-19T23:27:58Z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 by">
    <vt:lpwstr>140.000000000000</vt:lpwstr>
  </property>
  <property fmtid="{D5CDD505-2E9C-101B-9397-08002B2CF9AE}" pid="3" name="Order">
    <vt:lpwstr>5900.00000000000</vt:lpwstr>
  </property>
  <property fmtid="{D5CDD505-2E9C-101B-9397-08002B2CF9AE}" pid="4" name="Fase de Proyecto">
    <vt:lpwstr>;#Concepción: Planificación;#Ejecución: Seguimiento;#</vt:lpwstr>
  </property>
  <property fmtid="{D5CDD505-2E9C-101B-9397-08002B2CF9AE}" pid="5" name="Resumen">
    <vt:lpwstr>Planilla excel con el listado de riesgos, problemas y control de cambios del proyecto.</vt:lpwstr>
  </property>
  <property fmtid="{D5CDD505-2E9C-101B-9397-08002B2CF9AE}" pid="6" name="ContentType">
    <vt:lpwstr>Documento</vt:lpwstr>
  </property>
  <property fmtid="{D5CDD505-2E9C-101B-9397-08002B2CF9AE}" pid="7" name="Val">
    <vt:lpwstr>1</vt:lpwstr>
  </property>
  <property fmtid="{D5CDD505-2E9C-101B-9397-08002B2CF9AE}" pid="8" name="_Status">
    <vt:lpwstr>Published</vt:lpwstr>
  </property>
  <property fmtid="{D5CDD505-2E9C-101B-9397-08002B2CF9AE}" pid="9" name="Process">
    <vt:lpwstr>PMO</vt:lpwstr>
  </property>
  <property fmtid="{D5CDD505-2E9C-101B-9397-08002B2CF9AE}" pid="10" name="Categotys">
    <vt:lpwstr>Templates</vt:lpwstr>
  </property>
  <property fmtid="{D5CDD505-2E9C-101B-9397-08002B2CF9AE}" pid="11" name="Document type">
    <vt:lpwstr>Template</vt:lpwstr>
  </property>
  <property fmtid="{D5CDD505-2E9C-101B-9397-08002B2CF9AE}" pid="12" name="ContentTypeId">
    <vt:lpwstr>0x0101001E2458228B949B479C0D95B74764B8CE</vt:lpwstr>
  </property>
</Properties>
</file>